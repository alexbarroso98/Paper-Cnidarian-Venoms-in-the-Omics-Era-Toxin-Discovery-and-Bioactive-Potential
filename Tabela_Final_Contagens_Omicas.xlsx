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uporto-my.sharepoint.com/personal/up201605888_up_pt/Documents/Ambiente de Trabalho/Supplementar_Outros/"/>
    </mc:Choice>
  </mc:AlternateContent>
  <xr:revisionPtr revIDLastSave="3" documentId="11_AD4DF034E34935FBC521DCE7079D68605ADEDD89" xr6:coauthVersionLast="47" xr6:coauthVersionMax="47" xr10:uidLastSave="{760AF010-8806-4FCD-A2E5-EE4EB27C0768}"/>
  <bookViews>
    <workbookView xWindow="-28920" yWindow="-45" windowWidth="29040" windowHeight="15720" xr2:uid="{00000000-000D-0000-FFFF-FFFF00000000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105" i="1" l="1"/>
  <c r="AW104" i="1"/>
  <c r="AW103" i="1"/>
  <c r="AW102" i="1"/>
  <c r="AW101" i="1"/>
  <c r="AW100" i="1"/>
  <c r="AW99" i="1"/>
  <c r="AW98" i="1"/>
  <c r="AW97" i="1"/>
  <c r="AW96" i="1"/>
  <c r="AW95" i="1"/>
  <c r="AW94" i="1"/>
  <c r="AW93" i="1"/>
  <c r="AW92" i="1"/>
  <c r="AW91" i="1"/>
  <c r="AW90" i="1"/>
  <c r="AW89" i="1"/>
  <c r="AW88" i="1"/>
  <c r="AW87" i="1"/>
  <c r="AW86" i="1"/>
  <c r="AW85" i="1"/>
  <c r="AW84" i="1"/>
  <c r="AW83" i="1"/>
  <c r="AW82" i="1"/>
  <c r="AW81" i="1"/>
  <c r="AW80" i="1"/>
  <c r="AW79" i="1"/>
  <c r="AW78" i="1"/>
  <c r="AW77" i="1"/>
  <c r="AW76" i="1"/>
  <c r="AW75" i="1"/>
  <c r="AW74" i="1"/>
  <c r="AW73" i="1"/>
  <c r="AW72" i="1"/>
  <c r="AW71" i="1"/>
  <c r="AW70" i="1"/>
  <c r="AW69" i="1"/>
  <c r="AW68" i="1"/>
  <c r="AW67" i="1"/>
  <c r="AW66" i="1"/>
  <c r="AW65" i="1"/>
  <c r="AW64" i="1"/>
  <c r="AW63" i="1"/>
  <c r="AW62" i="1"/>
  <c r="AW61" i="1"/>
  <c r="AW60" i="1"/>
  <c r="AW59" i="1"/>
  <c r="AW58" i="1"/>
  <c r="AW57" i="1"/>
  <c r="AW56" i="1"/>
  <c r="AW55" i="1"/>
  <c r="AW54" i="1"/>
  <c r="AW53" i="1"/>
  <c r="AW52" i="1"/>
  <c r="AW51" i="1"/>
  <c r="AW50" i="1"/>
  <c r="AW49" i="1"/>
  <c r="AW48" i="1"/>
  <c r="AW47" i="1"/>
  <c r="AW46" i="1"/>
  <c r="AW45" i="1"/>
  <c r="AW44" i="1"/>
  <c r="AW43" i="1"/>
  <c r="AW42" i="1"/>
  <c r="AW41" i="1"/>
  <c r="AW40" i="1"/>
  <c r="AW39" i="1"/>
  <c r="AW38" i="1"/>
  <c r="AW37" i="1"/>
  <c r="AW36" i="1"/>
  <c r="AW35" i="1"/>
  <c r="AW34" i="1"/>
  <c r="AW33" i="1"/>
  <c r="AW32" i="1"/>
  <c r="AW31" i="1"/>
  <c r="AW30" i="1"/>
  <c r="AW29" i="1"/>
  <c r="AW28" i="1"/>
  <c r="AW27" i="1"/>
  <c r="AW26" i="1"/>
  <c r="AW25" i="1"/>
  <c r="AW24" i="1"/>
  <c r="AW23" i="1"/>
  <c r="AW22" i="1"/>
  <c r="AW21" i="1"/>
  <c r="AW20" i="1"/>
  <c r="AW19" i="1"/>
  <c r="AW18" i="1"/>
  <c r="AW17" i="1"/>
  <c r="AW16" i="1"/>
  <c r="AW15" i="1"/>
  <c r="AW14" i="1"/>
  <c r="AW13" i="1"/>
  <c r="AW12" i="1"/>
  <c r="AW11" i="1"/>
  <c r="AW10" i="1"/>
  <c r="AW9" i="1"/>
  <c r="AW8" i="1"/>
  <c r="AW7" i="1"/>
  <c r="AW6" i="1"/>
  <c r="AW5" i="1"/>
  <c r="AW4" i="1"/>
  <c r="AW3" i="1"/>
  <c r="AW2" i="1"/>
</calcChain>
</file>

<file path=xl/sharedStrings.xml><?xml version="1.0" encoding="utf-8"?>
<sst xmlns="http://schemas.openxmlformats.org/spreadsheetml/2006/main" count="582" uniqueCount="283">
  <si>
    <t>Species</t>
  </si>
  <si>
    <t>Order</t>
  </si>
  <si>
    <t>Omics</t>
  </si>
  <si>
    <t>PLA2</t>
  </si>
  <si>
    <t>Metalloproteinases</t>
  </si>
  <si>
    <t>NaTx I</t>
  </si>
  <si>
    <t>NaTx II</t>
  </si>
  <si>
    <t>NaTx III</t>
  </si>
  <si>
    <t>KTx I</t>
  </si>
  <si>
    <t>KTx II/Kunitz</t>
  </si>
  <si>
    <t>KTx III/BDS</t>
  </si>
  <si>
    <t>KTx IV/BBH/St.Cl.9</t>
  </si>
  <si>
    <t>KTx V</t>
  </si>
  <si>
    <t>KTx VI</t>
  </si>
  <si>
    <t>PHAB</t>
  </si>
  <si>
    <t>SA8</t>
  </si>
  <si>
    <t>SCRiP</t>
  </si>
  <si>
    <t>JFT</t>
  </si>
  <si>
    <t>Actinoporin</t>
  </si>
  <si>
    <t>MACPF</t>
  </si>
  <si>
    <t>Hydralysin</t>
  </si>
  <si>
    <t>Acrorhagin</t>
  </si>
  <si>
    <t>EGF-like</t>
  </si>
  <si>
    <t>Others Prot.Inh.</t>
  </si>
  <si>
    <r>
      <t xml:space="preserve">Other </t>
    </r>
    <r>
      <rPr>
        <b/>
        <sz val="11"/>
        <color theme="1"/>
        <rFont val="Calibri"/>
        <family val="2"/>
        <scheme val="minor"/>
      </rPr>
      <t>Neurotoxins</t>
    </r>
  </si>
  <si>
    <r>
      <t xml:space="preserve">Other </t>
    </r>
    <r>
      <rPr>
        <b/>
        <sz val="11"/>
        <color theme="1"/>
        <rFont val="Calibri"/>
        <family val="2"/>
        <scheme val="minor"/>
      </rPr>
      <t>PFTs</t>
    </r>
  </si>
  <si>
    <r>
      <t xml:space="preserve">Other </t>
    </r>
    <r>
      <rPr>
        <b/>
        <sz val="11"/>
        <color theme="1"/>
        <rFont val="Calibri"/>
        <family val="2"/>
        <scheme val="minor"/>
      </rPr>
      <t>Enzymes</t>
    </r>
  </si>
  <si>
    <t>Others</t>
  </si>
  <si>
    <t>Unknown</t>
  </si>
  <si>
    <t>PLA1</t>
  </si>
  <si>
    <t>PLAB</t>
  </si>
  <si>
    <t>PLAD</t>
  </si>
  <si>
    <t>5'nucleotidase</t>
  </si>
  <si>
    <t>Lectin/Snaclec</t>
  </si>
  <si>
    <t>ShK-like</t>
  </si>
  <si>
    <t>CRiSP/CAP</t>
  </si>
  <si>
    <t>Kunitz-like</t>
  </si>
  <si>
    <t>Cystatin</t>
  </si>
  <si>
    <t>Hyaluronidase</t>
  </si>
  <si>
    <t>Proteases</t>
  </si>
  <si>
    <t>Conotoxins</t>
  </si>
  <si>
    <t>Turripeptides</t>
  </si>
  <si>
    <t>Three-Finger</t>
  </si>
  <si>
    <t>Venom coagulation factor</t>
  </si>
  <si>
    <t>Venom prothrombin activator</t>
  </si>
  <si>
    <t>Venom allergen</t>
  </si>
  <si>
    <t>Chitinase</t>
  </si>
  <si>
    <t>Latrotoxin</t>
  </si>
  <si>
    <t>T</t>
  </si>
  <si>
    <t>Tissues</t>
  </si>
  <si>
    <t>Year</t>
  </si>
  <si>
    <t>Ref</t>
  </si>
  <si>
    <t>Acropora digitifera</t>
  </si>
  <si>
    <t>Scleractinia</t>
  </si>
  <si>
    <t>Proteomics</t>
  </si>
  <si>
    <t>Nematocysts</t>
  </si>
  <si>
    <t>(Gacesa, Chung et al. 2015)</t>
  </si>
  <si>
    <t>Actinia equina</t>
  </si>
  <si>
    <t>Actiniaria</t>
  </si>
  <si>
    <t>Tentacles</t>
  </si>
  <si>
    <t>2024, 2025</t>
  </si>
  <si>
    <t>(Alcaide, Moutinho Cabral et al. 2024), (Zhang, Pan et al. 2025)</t>
  </si>
  <si>
    <t>Actinia fragacea</t>
  </si>
  <si>
    <t>Nematocysts, Acrorhagi, Column, Mesenteric Filaments, Mucus, Tentacles</t>
  </si>
  <si>
    <t>(Barroso, Rodrigues et al. 2025)</t>
  </si>
  <si>
    <t>Anemonia viridis</t>
  </si>
  <si>
    <t>(Rachamim, Morgenstern et al. 2015)</t>
  </si>
  <si>
    <t>Anthopleura dowii</t>
  </si>
  <si>
    <t>Mucus, Tentacles</t>
  </si>
  <si>
    <t>(Ramirez-Carreto, Vera-Estrella et al. 2019)</t>
  </si>
  <si>
    <t xml:space="preserve">Anthopleura midori </t>
  </si>
  <si>
    <t>(Zhang, Pan et al. 2025)</t>
  </si>
  <si>
    <t>Aurelia aurita</t>
  </si>
  <si>
    <t>Scyphozoa</t>
  </si>
  <si>
    <t>Aurelia coerulea</t>
  </si>
  <si>
    <t>Tentacles (medusa and polyp)</t>
  </si>
  <si>
    <t>(Li, Ma et al. 2022)</t>
  </si>
  <si>
    <t>Buddenbrockia plumatellae</t>
  </si>
  <si>
    <t>Myxozoa</t>
  </si>
  <si>
    <t>Whole Body</t>
  </si>
  <si>
    <t>(Hartigan, Jaimes-Becerra et al. 2021)</t>
  </si>
  <si>
    <t>Bunodactis verrucosa</t>
  </si>
  <si>
    <t>(Dominguez-Perez, Campos et al. 2018)</t>
  </si>
  <si>
    <t>Bunodosoma caissarum</t>
  </si>
  <si>
    <t>(Mazzi Esquinca, Correa et al. 2023)</t>
  </si>
  <si>
    <t>Bunodosoma cangicum</t>
  </si>
  <si>
    <t>Milked Venom</t>
  </si>
  <si>
    <t>(Zaharenko, Ferreira et al. 2008)</t>
  </si>
  <si>
    <t>Bunodosoma granuliferum</t>
  </si>
  <si>
    <t>Mucus</t>
  </si>
  <si>
    <t>(Rodriguez, Cassoli et al. 2012)</t>
  </si>
  <si>
    <t>Calliactis polypus</t>
  </si>
  <si>
    <t>Milked venom, Acontia</t>
  </si>
  <si>
    <t>2023, 2024</t>
  </si>
  <si>
    <t>(Smith, Broszczak et al. 2024). (Smith, Prentis et al. 2023)</t>
  </si>
  <si>
    <t>Calvadosia cruxmelitensis</t>
  </si>
  <si>
    <t>Staurozoa</t>
  </si>
  <si>
    <t>Carybdea brevipedalia</t>
  </si>
  <si>
    <t>Cubozoa</t>
  </si>
  <si>
    <t xml:space="preserve">Nematocysts </t>
  </si>
  <si>
    <t>(Hwang, Prakash et al. 2025)</t>
  </si>
  <si>
    <t>Catostylus sp.</t>
  </si>
  <si>
    <t>(Edirisinghe, Athukorala et al. 2024)</t>
  </si>
  <si>
    <t>Ceratonova shasta</t>
  </si>
  <si>
    <t>(Americus, Hams et al. 2021)</t>
  </si>
  <si>
    <t>Chironex fleckeri</t>
  </si>
  <si>
    <t>(Jouiaei, Casewell et al. 2015), (Brinkman, Jia et al. 2015)</t>
  </si>
  <si>
    <t>Chironex indrasaksajiae</t>
  </si>
  <si>
    <t>Cnidae</t>
  </si>
  <si>
    <t>(Yongstar 2021)</t>
  </si>
  <si>
    <t>Chiropsalmus quadrumanus</t>
  </si>
  <si>
    <t>(Jaimes-Becerra, Chung et al. 2017)</t>
  </si>
  <si>
    <t>Chrysaora caliparea</t>
  </si>
  <si>
    <t>(Riyas, Kumar et al. 2021)</t>
  </si>
  <si>
    <t>Chrysaora fuscescens</t>
  </si>
  <si>
    <t>(Ponce, Brinkman et al. 2016)</t>
  </si>
  <si>
    <t>Chrysaora lactea</t>
  </si>
  <si>
    <t>Corallimorphus cf. pilatus</t>
  </si>
  <si>
    <t>Corallimorpharia</t>
  </si>
  <si>
    <t>(Kvetkina, Kostina et al. 2021)</t>
  </si>
  <si>
    <t>Cyanea capillata</t>
  </si>
  <si>
    <t>(Wang, Wang et al. 2019)</t>
  </si>
  <si>
    <t>Cyanea nozakii</t>
  </si>
  <si>
    <t>Tentacles, Nematocysts</t>
  </si>
  <si>
    <t>2016, 2021</t>
  </si>
  <si>
    <t>(Li, Yu et al. 2016), (Riyas, Kumar et al. 2021)</t>
  </si>
  <si>
    <t>Cyanea sp.</t>
  </si>
  <si>
    <t>(Liang, Jiang et al. 2019)</t>
  </si>
  <si>
    <t>Dendronephthya sp</t>
  </si>
  <si>
    <t>Octocorallia</t>
  </si>
  <si>
    <t>(Radwan, Aboul-Dahab et al. 2002)</t>
  </si>
  <si>
    <t>Ectopleura crocea</t>
  </si>
  <si>
    <t>Hydrozoa</t>
  </si>
  <si>
    <t>(Jaimes-Becerra, Gacesa et al. 2019)</t>
  </si>
  <si>
    <t>Entacmaea quadricolor</t>
  </si>
  <si>
    <t>Milked venom</t>
  </si>
  <si>
    <t>(Hoepner, Stewart et al. 2024)</t>
  </si>
  <si>
    <t>Epiactis japonica</t>
  </si>
  <si>
    <t>(Babenko, Mikov et al. 2017)</t>
  </si>
  <si>
    <t>Eunicella singularis</t>
  </si>
  <si>
    <t>Nematocysts and Whole Body</t>
  </si>
  <si>
    <t>(Modica, Leone et al. 2025)</t>
  </si>
  <si>
    <t>Haliclystus antarcticus</t>
  </si>
  <si>
    <t>Heliofungia actiniformis</t>
  </si>
  <si>
    <t>2020, 2022</t>
  </si>
  <si>
    <t>(Schmidt, Wilson et al. 2020), (Schmidt, Cooke et al. 2022)</t>
  </si>
  <si>
    <t>Heteroxenia fuscescens</t>
  </si>
  <si>
    <t>Homostichanthus duerdeni</t>
  </si>
  <si>
    <t>(Cassoli, Verano-Braga et al. 2013)</t>
  </si>
  <si>
    <t>Hydra magnipapillata</t>
  </si>
  <si>
    <t>Liponema brevicorne</t>
  </si>
  <si>
    <t>Lychnorhiza malayensis</t>
  </si>
  <si>
    <t>Macrorhynchia philippina</t>
  </si>
  <si>
    <t>Hydrocladiums, Hydrothecas</t>
  </si>
  <si>
    <t>(Banagouro, Viana et al. 2022)</t>
  </si>
  <si>
    <t>Millepora alcicornis</t>
  </si>
  <si>
    <t>(Hernandez-Elizarraga, Vega-Tamayo et al. 2023)</t>
  </si>
  <si>
    <t>Millepora complanata</t>
  </si>
  <si>
    <t>(Hernández-Elizárraga, Olguín-López et al. 2019)</t>
  </si>
  <si>
    <t>Nematostela vectensis</t>
  </si>
  <si>
    <t>(Moran, Praher et al. 2013)</t>
  </si>
  <si>
    <t>Nemopilema nomurai</t>
  </si>
  <si>
    <t>2019, 2020, 2018</t>
  </si>
  <si>
    <t>(Choudhary, Hwang et al. 2019), (Li, Yu et al. 2020), (Wang, Wang et al. 2019)</t>
  </si>
  <si>
    <t>Nephthea sp</t>
  </si>
  <si>
    <t>Olindias sambaquiensis</t>
  </si>
  <si>
    <t>2019, 2013</t>
  </si>
  <si>
    <t>(Doonan, Lynham et al. 2019), (Weston, Chung et al. 2013)</t>
  </si>
  <si>
    <t>Pelagia noctiluca</t>
  </si>
  <si>
    <t>(Frazao, Campos et al. 2017)</t>
  </si>
  <si>
    <t>Phacellophora camtschatica</t>
  </si>
  <si>
    <t>Tentacle</t>
  </si>
  <si>
    <t>(Yang, Ye et al. 2022)</t>
  </si>
  <si>
    <t>Phyllorhiza punctata</t>
  </si>
  <si>
    <t>Gonads, Mantle, Oral Arms</t>
  </si>
  <si>
    <t>(Rodrigues, Barroso et al. 2025)</t>
  </si>
  <si>
    <t>Phymanthus crucifer</t>
  </si>
  <si>
    <t>(Rodriguez, Standker et al. 2012)</t>
  </si>
  <si>
    <t>Polypodium hydriforme</t>
  </si>
  <si>
    <t>Polypodiozoa</t>
  </si>
  <si>
    <t>Porites astreoides</t>
  </si>
  <si>
    <t>(Garcia-Arredondo, Rojas-Molina et al. 2016)</t>
  </si>
  <si>
    <t>Pseudodiploria strigosa</t>
  </si>
  <si>
    <t>Radianthus magnifica</t>
  </si>
  <si>
    <t>Tentacles, Column, Mucus</t>
  </si>
  <si>
    <t>2024, 2018</t>
  </si>
  <si>
    <t>(Li, Mao et al. 2024), (Sintsova, Gladkikh et al. 2018)</t>
  </si>
  <si>
    <t>Rhizostoma pulmo</t>
  </si>
  <si>
    <t>(Rastogi, Sarkar et al. 2017)</t>
  </si>
  <si>
    <t>Rhopilema esculentum</t>
  </si>
  <si>
    <t>(Leung, Qu et al. 2020)</t>
  </si>
  <si>
    <t>Sanderia malayensis</t>
  </si>
  <si>
    <t>Siderastrea siderea</t>
  </si>
  <si>
    <t>Sphaerospora elegans and Myxobilatus gasterostei</t>
  </si>
  <si>
    <t>Stichodactyla haddoni</t>
  </si>
  <si>
    <t>(Madio, Undheim et al. 2017)</t>
  </si>
  <si>
    <t>Stichodactyla helianthus</t>
  </si>
  <si>
    <t>Stomolophus meleagris</t>
  </si>
  <si>
    <t>Milked venom, Tentacles</t>
  </si>
  <si>
    <t>2014, 2022</t>
  </si>
  <si>
    <t>(Li, Yu et al. 2014), (Li, Ma et al. 2022)</t>
  </si>
  <si>
    <t>Stylophora pistilata</t>
  </si>
  <si>
    <t>Coral Fragment</t>
  </si>
  <si>
    <t>(Ben-Ari, Paz et al. 2018)</t>
  </si>
  <si>
    <t>Tamoya haplonema</t>
  </si>
  <si>
    <t>Telmatactis stephensoni</t>
  </si>
  <si>
    <t>(Ashwood, Undheim et al. 2022)</t>
  </si>
  <si>
    <t>Tubastraea coccinea</t>
  </si>
  <si>
    <t>2019, 2020</t>
  </si>
  <si>
    <t>(Jaimes-Becerra, Gacesa et al. 2019), (Kitahara, Jaimes‐Becerra et al. 2020)</t>
  </si>
  <si>
    <t>Urticina aff. coriacea</t>
  </si>
  <si>
    <t>Aqueous extract</t>
  </si>
  <si>
    <t>(Gladkikh, Kvetkina et al. 2018)</t>
  </si>
  <si>
    <t>Velella velella</t>
  </si>
  <si>
    <t>(Tassara, Miksik et al. 2024)</t>
  </si>
  <si>
    <t>Zoanthus natalensis</t>
  </si>
  <si>
    <t>Zoantharia</t>
  </si>
  <si>
    <t>Polyps</t>
  </si>
  <si>
    <t>(Liao, Gong et al. 2019)</t>
  </si>
  <si>
    <t>Ceriantheomorphe brasiliensis</t>
  </si>
  <si>
    <t>Ceriantharia</t>
  </si>
  <si>
    <t>Transcriptomics</t>
  </si>
  <si>
    <t>(Klompen, Macrander et al. 2020)</t>
  </si>
  <si>
    <t>Alatina alata</t>
  </si>
  <si>
    <t>Gastric cirri, Ovaries, Tentacle (with pedalium base), Rhopalium (Adult female) and Larval planulae</t>
  </si>
  <si>
    <t>(Lewis Ames, Ryan et al. 2016)</t>
  </si>
  <si>
    <t>Anemonia sulcata</t>
  </si>
  <si>
    <t>Tentacles, Mesenterial Filaments, Column</t>
  </si>
  <si>
    <t>(Macrander, Broe et al. 2016)</t>
  </si>
  <si>
    <t>Anthopleura elegantissima</t>
  </si>
  <si>
    <t>Acrorhagi (aggressive and non-aggressive polyps)</t>
  </si>
  <si>
    <t>(Macrander, Brugler et al. 2015)</t>
  </si>
  <si>
    <t>Arachnanthus errans</t>
  </si>
  <si>
    <t>Larva, Polyp</t>
  </si>
  <si>
    <t>(Lopes, Iwama et al. 2025)</t>
  </si>
  <si>
    <t>Bunodosoma goanense</t>
  </si>
  <si>
    <t>(Menezes, Thakur et al. 2026)</t>
  </si>
  <si>
    <t>Chrysaora quinquecirrha</t>
  </si>
  <si>
    <t>(Khanal 2017)</t>
  </si>
  <si>
    <t>Cryptodendrum adhaesivum</t>
  </si>
  <si>
    <t>Nematocysts, Column</t>
  </si>
  <si>
    <t>(Delgado, Benedict et al. 2022)</t>
  </si>
  <si>
    <t>n.a.</t>
  </si>
  <si>
    <t>Galaxea fascicularis</t>
  </si>
  <si>
    <t>Hunting tentacles, Sweeper tentacles</t>
  </si>
  <si>
    <t>(Yosef, Popovits et al. 2020)</t>
  </si>
  <si>
    <t>Gonionemus vertens</t>
  </si>
  <si>
    <t>(Bliese 2020)</t>
  </si>
  <si>
    <t>Goniopora columna</t>
  </si>
  <si>
    <t>Polyp</t>
  </si>
  <si>
    <t>(Chen, Deng et al. 2025)</t>
  </si>
  <si>
    <t>Heteractis doreensis</t>
  </si>
  <si>
    <t xml:space="preserve">Tentacle, Column, Mesenterial Filaments, </t>
  </si>
  <si>
    <t>Heterodactyla hemprichii</t>
  </si>
  <si>
    <t>Nematocysts, Exocoelic tentacles, Endocoelic tentacles</t>
  </si>
  <si>
    <t>Isarachnanthus nocturnus</t>
  </si>
  <si>
    <t>Megalactis griffithsi</t>
  </si>
  <si>
    <t>Myxobolus ampullicapsulatus</t>
  </si>
  <si>
    <t>(Xiao, Guo et al. 2022)</t>
  </si>
  <si>
    <t>Myxobolus honghuensis</t>
  </si>
  <si>
    <t>Myxobolus turpisrotundus</t>
  </si>
  <si>
    <t>Myxobolus xiantaoensis</t>
  </si>
  <si>
    <t>Pachycerianthus borealis</t>
  </si>
  <si>
    <t>Pachycerianthus cf. maua</t>
  </si>
  <si>
    <t>Palythoa caribaeorum</t>
  </si>
  <si>
    <t>(Liao, Li et al. 2018)</t>
  </si>
  <si>
    <t>Palythoa variabilis</t>
  </si>
  <si>
    <t>(Huang, Morlighem et al. 2016)</t>
  </si>
  <si>
    <t>Porites lutea</t>
  </si>
  <si>
    <t>Radianthus crispa</t>
  </si>
  <si>
    <t>Tentacles, Column, Mesenterial filaments</t>
  </si>
  <si>
    <t>2024, 2016, 2022</t>
  </si>
  <si>
    <t xml:space="preserve">(Guo, Fu et al. 2024), (Macrander, Broe et al. 2016), (Delgado, Benedict et al. 2022) </t>
  </si>
  <si>
    <t>Thelohanellus kitauei</t>
  </si>
  <si>
    <t>Rhodactis indosinensis</t>
  </si>
  <si>
    <t>PRJNA313487</t>
  </si>
  <si>
    <t>Corynactis australi</t>
  </si>
  <si>
    <t>Ricordea yuma</t>
  </si>
  <si>
    <t>Antipathes griggi</t>
  </si>
  <si>
    <t>Antipatharia</t>
  </si>
  <si>
    <t>PRJNA809900</t>
  </si>
  <si>
    <t>Stichopates sp.</t>
  </si>
  <si>
    <t>(Drake et al., 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</si>
</sst>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Palatino Linotype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3" fillId="4" borderId="0" xfId="0" quotePrefix="1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5"/>
  <sheetViews>
    <sheetView tabSelected="1" topLeftCell="F90" workbookViewId="0">
      <selection activeCell="AU116" sqref="AU116"/>
    </sheetView>
  </sheetViews>
  <sheetFormatPr defaultColWidth="5.21875" defaultRowHeight="14.4" x14ac:dyDescent="0.3"/>
  <cols>
    <col min="1" max="1" width="14" customWidth="1"/>
    <col min="2" max="2" width="9.44140625" customWidth="1"/>
    <col min="3" max="3" width="20.33203125" customWidth="1"/>
    <col min="50" max="50" width="9.6640625" customWidth="1"/>
    <col min="51" max="51" width="7.44140625" style="1" customWidth="1"/>
    <col min="52" max="52" width="10.44140625" style="1" customWidth="1"/>
  </cols>
  <sheetData>
    <row r="1" spans="1:52" s="1" customFormat="1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s="1" customFormat="1" ht="18" customHeight="1" x14ac:dyDescent="0.3">
      <c r="A2" s="1" t="s">
        <v>52</v>
      </c>
      <c r="B2" s="1" t="s">
        <v>53</v>
      </c>
      <c r="C2" s="1" t="s">
        <v>54</v>
      </c>
      <c r="D2" s="1">
        <v>1</v>
      </c>
      <c r="E2" s="1">
        <v>1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1</v>
      </c>
      <c r="T2" s="1">
        <v>1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1</v>
      </c>
      <c r="AC2" s="1">
        <v>0</v>
      </c>
      <c r="AD2" s="1">
        <v>0</v>
      </c>
      <c r="AE2" s="1">
        <v>1</v>
      </c>
      <c r="AF2" s="1">
        <v>0</v>
      </c>
      <c r="AG2" s="1">
        <v>0</v>
      </c>
      <c r="AH2" s="1">
        <v>1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1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f t="shared" ref="AW2:AW33" si="0">SUM(D2:AV2)</f>
        <v>8</v>
      </c>
      <c r="AX2" s="1" t="s">
        <v>55</v>
      </c>
      <c r="AY2" s="1">
        <v>2015</v>
      </c>
      <c r="AZ2" s="1" t="s">
        <v>56</v>
      </c>
    </row>
    <row r="3" spans="1:52" s="1" customFormat="1" ht="18" customHeight="1" x14ac:dyDescent="0.3">
      <c r="A3" s="1" t="s">
        <v>57</v>
      </c>
      <c r="B3" s="1" t="s">
        <v>58</v>
      </c>
      <c r="C3" s="1" t="s">
        <v>54</v>
      </c>
      <c r="D3" s="1">
        <v>1</v>
      </c>
      <c r="E3" s="1">
        <v>1</v>
      </c>
      <c r="F3" s="1">
        <v>1</v>
      </c>
      <c r="G3" s="1">
        <v>0</v>
      </c>
      <c r="H3" s="1">
        <v>0</v>
      </c>
      <c r="I3" s="1">
        <v>1</v>
      </c>
      <c r="J3" s="1">
        <v>1</v>
      </c>
      <c r="K3" s="1">
        <v>1</v>
      </c>
      <c r="L3" s="1">
        <v>0</v>
      </c>
      <c r="M3" s="1">
        <v>1</v>
      </c>
      <c r="N3" s="1">
        <v>0</v>
      </c>
      <c r="O3" s="1">
        <v>0</v>
      </c>
      <c r="P3" s="1">
        <v>1</v>
      </c>
      <c r="Q3" s="1">
        <v>0</v>
      </c>
      <c r="R3" s="1">
        <v>0</v>
      </c>
      <c r="S3" s="1">
        <v>0</v>
      </c>
      <c r="T3" s="1">
        <v>1</v>
      </c>
      <c r="U3" s="1">
        <v>0</v>
      </c>
      <c r="V3" s="1">
        <v>0</v>
      </c>
      <c r="W3" s="1">
        <v>0</v>
      </c>
      <c r="X3" s="1">
        <v>0</v>
      </c>
      <c r="Y3" s="1">
        <v>1</v>
      </c>
      <c r="Z3" s="1">
        <v>1</v>
      </c>
      <c r="AA3" s="1">
        <v>1</v>
      </c>
      <c r="AB3" s="1">
        <v>1</v>
      </c>
      <c r="AC3" s="1">
        <v>0</v>
      </c>
      <c r="AD3" s="1">
        <v>0</v>
      </c>
      <c r="AE3" s="1">
        <v>0</v>
      </c>
      <c r="AF3" s="1">
        <v>1</v>
      </c>
      <c r="AG3" s="1">
        <v>1</v>
      </c>
      <c r="AH3" s="1">
        <v>0</v>
      </c>
      <c r="AI3" s="1">
        <v>0</v>
      </c>
      <c r="AJ3" s="1">
        <v>1</v>
      </c>
      <c r="AK3" s="1">
        <v>1</v>
      </c>
      <c r="AL3" s="1">
        <v>0</v>
      </c>
      <c r="AM3" s="1">
        <v>1</v>
      </c>
      <c r="AN3" s="1">
        <v>1</v>
      </c>
      <c r="AO3" s="1">
        <v>1</v>
      </c>
      <c r="AP3" s="1">
        <v>1</v>
      </c>
      <c r="AQ3" s="1">
        <v>0</v>
      </c>
      <c r="AR3" s="1">
        <v>0</v>
      </c>
      <c r="AS3" s="1">
        <v>1</v>
      </c>
      <c r="AT3" s="1">
        <v>1</v>
      </c>
      <c r="AU3" s="1">
        <v>0</v>
      </c>
      <c r="AV3" s="1">
        <v>1</v>
      </c>
      <c r="AW3" s="1">
        <f t="shared" si="0"/>
        <v>24</v>
      </c>
      <c r="AX3" s="1" t="s">
        <v>59</v>
      </c>
      <c r="AY3" s="1" t="s">
        <v>60</v>
      </c>
      <c r="AZ3" s="1" t="s">
        <v>61</v>
      </c>
    </row>
    <row r="4" spans="1:52" s="1" customFormat="1" ht="18" customHeight="1" x14ac:dyDescent="0.3">
      <c r="A4" s="1" t="s">
        <v>62</v>
      </c>
      <c r="B4" s="1" t="s">
        <v>58</v>
      </c>
      <c r="C4" s="1" t="s">
        <v>54</v>
      </c>
      <c r="D4" s="1">
        <v>1</v>
      </c>
      <c r="E4" s="1">
        <v>1</v>
      </c>
      <c r="F4" s="1">
        <v>1</v>
      </c>
      <c r="G4" s="1">
        <v>0</v>
      </c>
      <c r="H4" s="1">
        <v>0</v>
      </c>
      <c r="I4" s="1">
        <v>0</v>
      </c>
      <c r="J4" s="1">
        <v>1</v>
      </c>
      <c r="K4" s="1">
        <v>1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1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</v>
      </c>
      <c r="AA4" s="1">
        <v>1</v>
      </c>
      <c r="AB4" s="1">
        <v>1</v>
      </c>
      <c r="AC4" s="1">
        <v>0</v>
      </c>
      <c r="AD4" s="1">
        <v>0</v>
      </c>
      <c r="AE4" s="1">
        <v>0</v>
      </c>
      <c r="AF4" s="1">
        <v>0</v>
      </c>
      <c r="AG4" s="1">
        <v>1</v>
      </c>
      <c r="AH4" s="1">
        <v>0</v>
      </c>
      <c r="AI4" s="1">
        <v>1</v>
      </c>
      <c r="AJ4" s="1">
        <v>0</v>
      </c>
      <c r="AK4" s="1">
        <v>0</v>
      </c>
      <c r="AL4" s="1">
        <v>0</v>
      </c>
      <c r="AM4" s="1">
        <v>0</v>
      </c>
      <c r="AN4" s="1">
        <v>1</v>
      </c>
      <c r="AO4" s="1">
        <v>0</v>
      </c>
      <c r="AP4" s="1">
        <v>0</v>
      </c>
      <c r="AQ4" s="1">
        <v>0</v>
      </c>
      <c r="AR4" s="1">
        <v>1</v>
      </c>
      <c r="AS4" s="1">
        <v>1</v>
      </c>
      <c r="AT4" s="1">
        <v>0</v>
      </c>
      <c r="AU4" s="1">
        <v>1</v>
      </c>
      <c r="AV4" s="1">
        <v>0</v>
      </c>
      <c r="AW4" s="1">
        <f t="shared" si="0"/>
        <v>16</v>
      </c>
      <c r="AX4" s="1" t="s">
        <v>63</v>
      </c>
      <c r="AY4" s="1">
        <v>2025</v>
      </c>
      <c r="AZ4" s="1" t="s">
        <v>64</v>
      </c>
    </row>
    <row r="5" spans="1:52" s="1" customFormat="1" ht="18" customHeight="1" x14ac:dyDescent="0.3">
      <c r="A5" s="1" t="s">
        <v>65</v>
      </c>
      <c r="B5" s="1" t="s">
        <v>58</v>
      </c>
      <c r="C5" s="1" t="s">
        <v>54</v>
      </c>
      <c r="D5" s="1">
        <v>0</v>
      </c>
      <c r="E5" s="1">
        <v>0</v>
      </c>
      <c r="F5" s="1">
        <v>1</v>
      </c>
      <c r="G5" s="1">
        <v>0</v>
      </c>
      <c r="H5" s="1">
        <v>0</v>
      </c>
      <c r="I5" s="1">
        <v>1</v>
      </c>
      <c r="J5" s="1">
        <v>1</v>
      </c>
      <c r="K5" s="1">
        <v>1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1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1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f t="shared" si="0"/>
        <v>6</v>
      </c>
      <c r="AX5" s="1" t="s">
        <v>55</v>
      </c>
      <c r="AY5" s="1">
        <v>2015</v>
      </c>
      <c r="AZ5" s="1" t="s">
        <v>66</v>
      </c>
    </row>
    <row r="6" spans="1:52" s="1" customFormat="1" ht="18" customHeight="1" x14ac:dyDescent="0.3">
      <c r="A6" s="1" t="s">
        <v>67</v>
      </c>
      <c r="B6" s="1" t="s">
        <v>58</v>
      </c>
      <c r="C6" s="1" t="s">
        <v>54</v>
      </c>
      <c r="D6" s="1">
        <v>0</v>
      </c>
      <c r="E6" s="1">
        <v>1</v>
      </c>
      <c r="F6" s="1">
        <v>1</v>
      </c>
      <c r="G6" s="1">
        <v>0</v>
      </c>
      <c r="H6" s="1">
        <v>0</v>
      </c>
      <c r="I6" s="1">
        <v>0</v>
      </c>
      <c r="J6" s="1">
        <v>1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1</v>
      </c>
      <c r="Y6" s="1">
        <v>0</v>
      </c>
      <c r="Z6" s="1">
        <v>1</v>
      </c>
      <c r="AA6" s="1">
        <v>0</v>
      </c>
      <c r="AB6" s="1">
        <v>0</v>
      </c>
      <c r="AC6" s="1">
        <v>1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1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1</v>
      </c>
      <c r="AV6" s="1">
        <v>0</v>
      </c>
      <c r="AW6" s="1">
        <f t="shared" si="0"/>
        <v>8</v>
      </c>
      <c r="AX6" s="1" t="s">
        <v>68</v>
      </c>
      <c r="AY6" s="1">
        <v>2019</v>
      </c>
      <c r="AZ6" s="1" t="s">
        <v>69</v>
      </c>
    </row>
    <row r="7" spans="1:52" s="1" customFormat="1" ht="18" customHeight="1" x14ac:dyDescent="0.3">
      <c r="A7" s="1" t="s">
        <v>70</v>
      </c>
      <c r="B7" s="1" t="s">
        <v>58</v>
      </c>
      <c r="C7" s="1" t="s">
        <v>54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1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1">
        <f t="shared" si="0"/>
        <v>1</v>
      </c>
      <c r="AX7" s="1" t="s">
        <v>59</v>
      </c>
      <c r="AY7" s="1">
        <v>2025</v>
      </c>
      <c r="AZ7" s="1" t="s">
        <v>71</v>
      </c>
    </row>
    <row r="8" spans="1:52" s="1" customFormat="1" ht="18" customHeight="1" x14ac:dyDescent="0.3">
      <c r="A8" s="1" t="s">
        <v>72</v>
      </c>
      <c r="B8" s="1" t="s">
        <v>73</v>
      </c>
      <c r="C8" s="1" t="s">
        <v>54</v>
      </c>
      <c r="D8" s="1">
        <v>1</v>
      </c>
      <c r="E8" s="1">
        <v>1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1</v>
      </c>
      <c r="S8" s="1">
        <v>0</v>
      </c>
      <c r="T8" s="1">
        <v>1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1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1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f t="shared" si="0"/>
        <v>6</v>
      </c>
      <c r="AX8" s="1" t="s">
        <v>55</v>
      </c>
      <c r="AY8" s="1">
        <v>2015</v>
      </c>
      <c r="AZ8" s="1" t="s">
        <v>66</v>
      </c>
    </row>
    <row r="9" spans="1:52" s="1" customFormat="1" ht="18" customHeight="1" x14ac:dyDescent="0.3">
      <c r="A9" s="1" t="s">
        <v>74</v>
      </c>
      <c r="B9" s="1" t="s">
        <v>73</v>
      </c>
      <c r="C9" s="1" t="s">
        <v>54</v>
      </c>
      <c r="D9" s="1">
        <v>1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1</v>
      </c>
      <c r="Y9" s="1">
        <v>1</v>
      </c>
      <c r="Z9" s="1">
        <v>0</v>
      </c>
      <c r="AA9" s="1">
        <v>1</v>
      </c>
      <c r="AB9" s="1">
        <v>1</v>
      </c>
      <c r="AC9" s="5">
        <v>0</v>
      </c>
      <c r="AD9" s="5">
        <v>0</v>
      </c>
      <c r="AE9" s="5">
        <v>0</v>
      </c>
      <c r="AF9" s="5">
        <v>0</v>
      </c>
      <c r="AG9" s="1">
        <v>1</v>
      </c>
      <c r="AH9" s="1">
        <v>1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1">
        <v>1</v>
      </c>
      <c r="AO9" s="5">
        <v>0</v>
      </c>
      <c r="AP9" s="1">
        <v>1</v>
      </c>
      <c r="AQ9" s="5">
        <v>0</v>
      </c>
      <c r="AR9" s="1">
        <v>1</v>
      </c>
      <c r="AS9" s="1">
        <v>1</v>
      </c>
      <c r="AT9" s="5">
        <v>0</v>
      </c>
      <c r="AU9" s="5">
        <v>0</v>
      </c>
      <c r="AV9" s="1">
        <v>1</v>
      </c>
      <c r="AW9" s="1">
        <f t="shared" si="0"/>
        <v>13</v>
      </c>
      <c r="AX9" s="1" t="s">
        <v>75</v>
      </c>
      <c r="AY9" s="1">
        <v>2022</v>
      </c>
      <c r="AZ9" s="1" t="s">
        <v>76</v>
      </c>
    </row>
    <row r="10" spans="1:52" s="1" customFormat="1" ht="18" customHeight="1" x14ac:dyDescent="0.3">
      <c r="A10" s="1" t="s">
        <v>77</v>
      </c>
      <c r="B10" s="1" t="s">
        <v>78</v>
      </c>
      <c r="C10" s="1" t="s">
        <v>54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1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1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1</v>
      </c>
      <c r="AU10" s="1">
        <v>0</v>
      </c>
      <c r="AV10" s="1">
        <v>0</v>
      </c>
      <c r="AW10" s="1">
        <f t="shared" si="0"/>
        <v>3</v>
      </c>
      <c r="AX10" s="1" t="s">
        <v>79</v>
      </c>
      <c r="AY10" s="1">
        <v>2021</v>
      </c>
      <c r="AZ10" s="1" t="s">
        <v>80</v>
      </c>
    </row>
    <row r="11" spans="1:52" s="1" customFormat="1" ht="18" customHeight="1" x14ac:dyDescent="0.3">
      <c r="A11" s="1" t="s">
        <v>81</v>
      </c>
      <c r="B11" s="1" t="s">
        <v>58</v>
      </c>
      <c r="C11" s="1" t="s">
        <v>54</v>
      </c>
      <c r="D11" s="1">
        <v>1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</v>
      </c>
      <c r="Z11" s="1">
        <v>0</v>
      </c>
      <c r="AA11" s="1">
        <v>1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1</v>
      </c>
      <c r="AW11" s="1">
        <f t="shared" si="0"/>
        <v>5</v>
      </c>
      <c r="AX11" s="1" t="s">
        <v>79</v>
      </c>
      <c r="AY11" s="1">
        <v>2018</v>
      </c>
      <c r="AZ11" s="1" t="s">
        <v>82</v>
      </c>
    </row>
    <row r="12" spans="1:52" s="1" customFormat="1" ht="18" customHeight="1" x14ac:dyDescent="0.3">
      <c r="A12" s="1" t="s">
        <v>83</v>
      </c>
      <c r="B12" s="1" t="s">
        <v>58</v>
      </c>
      <c r="C12" s="1" t="s">
        <v>54</v>
      </c>
      <c r="D12" s="1">
        <v>1</v>
      </c>
      <c r="E12" s="1">
        <v>1</v>
      </c>
      <c r="F12" s="1">
        <v>0</v>
      </c>
      <c r="G12" s="1">
        <v>0</v>
      </c>
      <c r="H12" s="1">
        <v>0</v>
      </c>
      <c r="I12" s="1">
        <v>1</v>
      </c>
      <c r="J12" s="1">
        <v>1</v>
      </c>
      <c r="K12" s="1">
        <v>1</v>
      </c>
      <c r="L12" s="1">
        <v>0</v>
      </c>
      <c r="M12" s="1">
        <v>0</v>
      </c>
      <c r="N12" s="1">
        <v>0</v>
      </c>
      <c r="O12" s="1">
        <v>0</v>
      </c>
      <c r="P12" s="1">
        <v>1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1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1</v>
      </c>
      <c r="AM12" s="1">
        <v>0</v>
      </c>
      <c r="AN12" s="1">
        <v>0</v>
      </c>
      <c r="AO12" s="1">
        <v>0</v>
      </c>
      <c r="AP12" s="1">
        <v>1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f t="shared" si="0"/>
        <v>9</v>
      </c>
      <c r="AX12" s="1" t="s">
        <v>68</v>
      </c>
      <c r="AY12" s="1">
        <v>2023</v>
      </c>
      <c r="AZ12" s="1" t="s">
        <v>84</v>
      </c>
    </row>
    <row r="13" spans="1:52" s="1" customFormat="1" ht="18" customHeight="1" x14ac:dyDescent="0.3">
      <c r="A13" s="1" t="s">
        <v>85</v>
      </c>
      <c r="B13" s="1" t="s">
        <v>58</v>
      </c>
      <c r="C13" s="1" t="s">
        <v>54</v>
      </c>
      <c r="D13" s="1">
        <v>0</v>
      </c>
      <c r="E13" s="1">
        <v>0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1">
        <v>1</v>
      </c>
      <c r="L13" s="1">
        <v>1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1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f t="shared" si="0"/>
        <v>4</v>
      </c>
      <c r="AX13" s="1" t="s">
        <v>86</v>
      </c>
      <c r="AY13" s="1">
        <v>2008</v>
      </c>
      <c r="AZ13" s="1" t="s">
        <v>87</v>
      </c>
    </row>
    <row r="14" spans="1:52" s="1" customFormat="1" ht="18" customHeight="1" x14ac:dyDescent="0.3">
      <c r="A14" s="1" t="s">
        <v>88</v>
      </c>
      <c r="B14" s="1" t="s">
        <v>58</v>
      </c>
      <c r="C14" s="1" t="s">
        <v>54</v>
      </c>
      <c r="D14" s="1">
        <v>0</v>
      </c>
      <c r="E14" s="1">
        <v>0</v>
      </c>
      <c r="F14" s="1">
        <v>1</v>
      </c>
      <c r="G14" s="1">
        <v>0</v>
      </c>
      <c r="H14" s="1">
        <v>0</v>
      </c>
      <c r="I14" s="1">
        <v>1</v>
      </c>
      <c r="J14" s="1">
        <v>0</v>
      </c>
      <c r="K14" s="1">
        <v>1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1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f t="shared" si="0"/>
        <v>4</v>
      </c>
      <c r="AX14" s="1" t="s">
        <v>89</v>
      </c>
      <c r="AY14" s="1">
        <v>2012</v>
      </c>
      <c r="AZ14" s="1" t="s">
        <v>90</v>
      </c>
    </row>
    <row r="15" spans="1:52" s="1" customFormat="1" ht="18" customHeight="1" x14ac:dyDescent="0.3">
      <c r="A15" s="1" t="s">
        <v>91</v>
      </c>
      <c r="B15" s="1" t="s">
        <v>58</v>
      </c>
      <c r="C15" s="1" t="s">
        <v>54</v>
      </c>
      <c r="D15" s="1">
        <v>1</v>
      </c>
      <c r="E15" s="1">
        <v>1</v>
      </c>
      <c r="F15" s="1">
        <v>1</v>
      </c>
      <c r="G15" s="1">
        <v>0</v>
      </c>
      <c r="H15" s="1">
        <v>0</v>
      </c>
      <c r="I15" s="1">
        <v>1</v>
      </c>
      <c r="J15" s="1">
        <v>0</v>
      </c>
      <c r="K15" s="1">
        <v>1</v>
      </c>
      <c r="L15" s="1">
        <v>1</v>
      </c>
      <c r="M15" s="1">
        <v>0</v>
      </c>
      <c r="N15" s="1">
        <v>0</v>
      </c>
      <c r="O15" s="1">
        <v>0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</v>
      </c>
      <c r="Z15" s="1">
        <v>0</v>
      </c>
      <c r="AA15" s="1">
        <v>1</v>
      </c>
      <c r="AB15" s="1">
        <v>0</v>
      </c>
      <c r="AC15" s="1">
        <v>1</v>
      </c>
      <c r="AD15" s="1">
        <v>0</v>
      </c>
      <c r="AE15" s="1">
        <v>0</v>
      </c>
      <c r="AF15" s="1">
        <v>0</v>
      </c>
      <c r="AG15" s="1">
        <v>0</v>
      </c>
      <c r="AH15" s="1">
        <v>1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f t="shared" si="0"/>
        <v>11</v>
      </c>
      <c r="AX15" s="1" t="s">
        <v>92</v>
      </c>
      <c r="AY15" s="1" t="s">
        <v>93</v>
      </c>
      <c r="AZ15" s="1" t="s">
        <v>94</v>
      </c>
    </row>
    <row r="16" spans="1:52" s="1" customFormat="1" ht="18" customHeight="1" x14ac:dyDescent="0.3">
      <c r="A16" s="5" t="s">
        <v>95</v>
      </c>
      <c r="B16" s="5" t="s">
        <v>96</v>
      </c>
      <c r="C16" s="5" t="s">
        <v>54</v>
      </c>
      <c r="D16" s="5">
        <v>1</v>
      </c>
      <c r="E16" s="5">
        <v>1</v>
      </c>
      <c r="F16" s="5">
        <v>0</v>
      </c>
      <c r="G16" s="5">
        <v>0</v>
      </c>
      <c r="H16" s="5">
        <v>0</v>
      </c>
      <c r="I16" s="5">
        <v>0</v>
      </c>
      <c r="J16" s="5">
        <v>1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  <c r="Y16" s="5">
        <v>0</v>
      </c>
      <c r="Z16" s="5">
        <v>1</v>
      </c>
      <c r="AA16" s="5">
        <v>1</v>
      </c>
      <c r="AB16" s="5">
        <v>1</v>
      </c>
      <c r="AC16" s="5">
        <v>0</v>
      </c>
      <c r="AD16" s="5">
        <v>0</v>
      </c>
      <c r="AE16" s="5">
        <v>1</v>
      </c>
      <c r="AF16" s="5">
        <v>0</v>
      </c>
      <c r="AG16" s="5">
        <v>0</v>
      </c>
      <c r="AH16" s="5">
        <v>1</v>
      </c>
      <c r="AI16" s="5">
        <v>0</v>
      </c>
      <c r="AJ16" s="5">
        <v>0</v>
      </c>
      <c r="AK16" s="5">
        <v>0</v>
      </c>
      <c r="AL16" s="5">
        <v>0</v>
      </c>
      <c r="AM16" s="5">
        <v>1</v>
      </c>
      <c r="AN16" s="5">
        <v>1</v>
      </c>
      <c r="AO16" s="5">
        <v>0</v>
      </c>
      <c r="AP16" s="5">
        <v>1</v>
      </c>
      <c r="AQ16" s="5">
        <v>0</v>
      </c>
      <c r="AR16" s="5">
        <v>1</v>
      </c>
      <c r="AS16" s="5">
        <v>0</v>
      </c>
      <c r="AT16" s="5">
        <v>1</v>
      </c>
      <c r="AU16" s="5">
        <v>0</v>
      </c>
      <c r="AV16" s="5">
        <v>0</v>
      </c>
      <c r="AW16" s="5">
        <f t="shared" si="0"/>
        <v>14</v>
      </c>
      <c r="AX16" s="5" t="s">
        <v>59</v>
      </c>
      <c r="AY16" s="1">
        <v>2021</v>
      </c>
      <c r="AZ16" s="1" t="s">
        <v>80</v>
      </c>
    </row>
    <row r="17" spans="1:52" s="1" customFormat="1" ht="18" customHeight="1" x14ac:dyDescent="0.3">
      <c r="A17" s="1" t="s">
        <v>97</v>
      </c>
      <c r="B17" s="1" t="s">
        <v>98</v>
      </c>
      <c r="C17" s="1" t="s">
        <v>54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1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1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</v>
      </c>
      <c r="Z17" s="1">
        <v>1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1</v>
      </c>
      <c r="AG17" s="1">
        <v>0</v>
      </c>
      <c r="AH17" s="1">
        <v>0</v>
      </c>
      <c r="AI17" s="1">
        <v>0</v>
      </c>
      <c r="AJ17" s="1">
        <v>1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f t="shared" si="0"/>
        <v>6</v>
      </c>
      <c r="AX17" s="1" t="s">
        <v>99</v>
      </c>
      <c r="AY17" s="1">
        <v>2025</v>
      </c>
      <c r="AZ17" s="1" t="s">
        <v>100</v>
      </c>
    </row>
    <row r="18" spans="1:52" s="1" customFormat="1" ht="18" customHeight="1" x14ac:dyDescent="0.3">
      <c r="A18" s="1" t="s">
        <v>101</v>
      </c>
      <c r="B18" s="1" t="s">
        <v>73</v>
      </c>
      <c r="C18" s="1" t="s">
        <v>54</v>
      </c>
      <c r="D18" s="1">
        <v>1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1</v>
      </c>
      <c r="R18" s="1">
        <v>1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</v>
      </c>
      <c r="Z18" s="1">
        <v>0</v>
      </c>
      <c r="AA18" s="1">
        <v>0</v>
      </c>
      <c r="AB18" s="1">
        <v>1</v>
      </c>
      <c r="AC18" s="1">
        <v>0</v>
      </c>
      <c r="AD18" s="1">
        <v>1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1">
        <v>1</v>
      </c>
      <c r="AO18" s="5">
        <v>0</v>
      </c>
      <c r="AP18" s="1">
        <v>1</v>
      </c>
      <c r="AQ18" s="5">
        <v>0</v>
      </c>
      <c r="AR18" s="1">
        <v>1</v>
      </c>
      <c r="AS18" s="5">
        <v>0</v>
      </c>
      <c r="AT18" s="5">
        <v>0</v>
      </c>
      <c r="AU18" s="5">
        <v>0</v>
      </c>
      <c r="AV18" s="5">
        <v>0</v>
      </c>
      <c r="AW18" s="1">
        <f t="shared" si="0"/>
        <v>9</v>
      </c>
      <c r="AX18" s="1" t="s">
        <v>55</v>
      </c>
      <c r="AY18" s="1">
        <v>2024</v>
      </c>
      <c r="AZ18" s="1" t="s">
        <v>102</v>
      </c>
    </row>
    <row r="19" spans="1:52" s="1" customFormat="1" ht="18" customHeight="1" x14ac:dyDescent="0.3">
      <c r="A19" s="1" t="s">
        <v>103</v>
      </c>
      <c r="B19" s="1" t="s">
        <v>78</v>
      </c>
      <c r="C19" s="1" t="s">
        <v>54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1</v>
      </c>
      <c r="AB19" s="1">
        <v>1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1</v>
      </c>
      <c r="AI19" s="1">
        <v>1</v>
      </c>
      <c r="AJ19" s="1">
        <v>1</v>
      </c>
      <c r="AK19" s="1">
        <v>0</v>
      </c>
      <c r="AL19" s="1">
        <v>1</v>
      </c>
      <c r="AM19" s="1">
        <v>0</v>
      </c>
      <c r="AN19" s="1">
        <v>1</v>
      </c>
      <c r="AO19" s="1">
        <v>0</v>
      </c>
      <c r="AP19" s="1">
        <v>0</v>
      </c>
      <c r="AQ19" s="1">
        <v>0</v>
      </c>
      <c r="AR19" s="1">
        <v>1</v>
      </c>
      <c r="AS19" s="1">
        <v>0</v>
      </c>
      <c r="AT19" s="1">
        <v>0</v>
      </c>
      <c r="AU19" s="1">
        <v>0</v>
      </c>
      <c r="AV19" s="1">
        <v>0</v>
      </c>
      <c r="AW19" s="1">
        <f t="shared" si="0"/>
        <v>8</v>
      </c>
      <c r="AX19" s="1" t="s">
        <v>79</v>
      </c>
      <c r="AY19" s="1">
        <v>2021</v>
      </c>
      <c r="AZ19" s="1" t="s">
        <v>104</v>
      </c>
    </row>
    <row r="20" spans="1:52" s="1" customFormat="1" ht="18" customHeight="1" x14ac:dyDescent="0.3">
      <c r="A20" s="6" t="s">
        <v>105</v>
      </c>
      <c r="B20" s="1" t="s">
        <v>98</v>
      </c>
      <c r="C20" s="1" t="s">
        <v>54</v>
      </c>
      <c r="D20" s="1">
        <v>0</v>
      </c>
      <c r="E20" s="1">
        <v>1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1</v>
      </c>
      <c r="S20" s="1">
        <v>1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1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1</v>
      </c>
      <c r="AK20" s="1">
        <v>0</v>
      </c>
      <c r="AL20" s="1">
        <v>0</v>
      </c>
      <c r="AM20" s="1">
        <v>0</v>
      </c>
      <c r="AN20" s="1">
        <v>1</v>
      </c>
      <c r="AO20" s="1">
        <v>0</v>
      </c>
      <c r="AP20" s="1">
        <v>1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f t="shared" si="0"/>
        <v>7</v>
      </c>
      <c r="AX20" s="1" t="s">
        <v>55</v>
      </c>
      <c r="AY20" s="1">
        <v>2015</v>
      </c>
      <c r="AZ20" s="1" t="s">
        <v>106</v>
      </c>
    </row>
    <row r="21" spans="1:52" s="1" customFormat="1" ht="18" customHeight="1" x14ac:dyDescent="0.3">
      <c r="A21" s="1" t="s">
        <v>107</v>
      </c>
      <c r="B21" s="1" t="s">
        <v>98</v>
      </c>
      <c r="C21" s="1" t="s">
        <v>54</v>
      </c>
      <c r="D21" s="1">
        <v>0</v>
      </c>
      <c r="E21" s="1">
        <v>1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1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1</v>
      </c>
      <c r="Z21" s="1">
        <v>1</v>
      </c>
      <c r="AA21" s="1">
        <v>1</v>
      </c>
      <c r="AB21" s="1">
        <v>1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1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1</v>
      </c>
      <c r="AW21" s="1">
        <f t="shared" si="0"/>
        <v>8</v>
      </c>
      <c r="AX21" s="1" t="s">
        <v>108</v>
      </c>
      <c r="AY21" s="1">
        <v>2021</v>
      </c>
      <c r="AZ21" s="1" t="s">
        <v>109</v>
      </c>
    </row>
    <row r="22" spans="1:52" s="1" customFormat="1" x14ac:dyDescent="0.3">
      <c r="A22" s="1" t="s">
        <v>110</v>
      </c>
      <c r="B22" s="1" t="s">
        <v>98</v>
      </c>
      <c r="C22" s="1" t="s">
        <v>54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1</v>
      </c>
      <c r="S22" s="1">
        <v>1</v>
      </c>
      <c r="T22" s="1">
        <v>0</v>
      </c>
      <c r="U22" s="1">
        <v>0</v>
      </c>
      <c r="V22" s="1">
        <v>0</v>
      </c>
      <c r="W22" s="1">
        <v>0</v>
      </c>
      <c r="X22" s="1">
        <v>1</v>
      </c>
      <c r="Y22" s="1">
        <v>1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1</v>
      </c>
      <c r="AW22" s="1">
        <f t="shared" si="0"/>
        <v>5</v>
      </c>
      <c r="AX22" s="1" t="s">
        <v>55</v>
      </c>
      <c r="AY22" s="1">
        <v>2017</v>
      </c>
      <c r="AZ22" s="1" t="s">
        <v>111</v>
      </c>
    </row>
    <row r="23" spans="1:52" s="1" customFormat="1" ht="18" customHeight="1" x14ac:dyDescent="0.3">
      <c r="A23" s="1" t="s">
        <v>112</v>
      </c>
      <c r="B23" s="1" t="s">
        <v>73</v>
      </c>
      <c r="C23" s="1" t="s">
        <v>54</v>
      </c>
      <c r="D23" s="1">
        <v>0</v>
      </c>
      <c r="E23" s="1">
        <v>1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1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1</v>
      </c>
      <c r="AA23" s="1">
        <v>0</v>
      </c>
      <c r="AB23" s="1">
        <v>1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f t="shared" si="0"/>
        <v>4</v>
      </c>
      <c r="AX23" s="1" t="s">
        <v>55</v>
      </c>
      <c r="AY23" s="1">
        <v>2021</v>
      </c>
      <c r="AZ23" s="1" t="s">
        <v>113</v>
      </c>
    </row>
    <row r="24" spans="1:52" s="1" customFormat="1" ht="18" customHeight="1" x14ac:dyDescent="0.3">
      <c r="A24" s="1" t="s">
        <v>114</v>
      </c>
      <c r="B24" s="1" t="s">
        <v>73</v>
      </c>
      <c r="C24" s="1" t="s">
        <v>54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1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1</v>
      </c>
      <c r="AB24" s="1">
        <v>1</v>
      </c>
      <c r="AC24" s="1">
        <v>1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1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f t="shared" si="0"/>
        <v>5</v>
      </c>
      <c r="AX24" s="1" t="s">
        <v>55</v>
      </c>
      <c r="AY24" s="1">
        <v>2016</v>
      </c>
      <c r="AZ24" s="1" t="s">
        <v>115</v>
      </c>
    </row>
    <row r="25" spans="1:52" s="1" customFormat="1" ht="18" customHeight="1" x14ac:dyDescent="0.3">
      <c r="A25" s="1" t="s">
        <v>116</v>
      </c>
      <c r="B25" s="1" t="s">
        <v>73</v>
      </c>
      <c r="C25" s="1" t="s">
        <v>54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1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1</v>
      </c>
      <c r="Z25" s="1">
        <v>0</v>
      </c>
      <c r="AA25" s="1">
        <v>1</v>
      </c>
      <c r="AB25" s="1">
        <v>1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1</v>
      </c>
      <c r="AK25" s="1">
        <v>0</v>
      </c>
      <c r="AL25" s="1">
        <v>0</v>
      </c>
      <c r="AM25" s="1">
        <v>0</v>
      </c>
      <c r="AN25" s="1">
        <v>1</v>
      </c>
      <c r="AO25" s="1">
        <v>1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f t="shared" si="0"/>
        <v>7</v>
      </c>
      <c r="AX25" s="1" t="s">
        <v>55</v>
      </c>
      <c r="AY25" s="1">
        <v>2017</v>
      </c>
      <c r="AZ25" s="1" t="s">
        <v>111</v>
      </c>
    </row>
    <row r="26" spans="1:52" s="1" customFormat="1" ht="18" customHeight="1" x14ac:dyDescent="0.3">
      <c r="A26" s="1" t="s">
        <v>117</v>
      </c>
      <c r="B26" s="1" t="s">
        <v>118</v>
      </c>
      <c r="C26" s="1" t="s">
        <v>54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1">
        <v>1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1">
        <f t="shared" si="0"/>
        <v>1</v>
      </c>
      <c r="AX26" s="1" t="s">
        <v>59</v>
      </c>
      <c r="AY26" s="1">
        <v>2021</v>
      </c>
      <c r="AZ26" s="1" t="s">
        <v>119</v>
      </c>
    </row>
    <row r="27" spans="1:52" s="1" customFormat="1" ht="18" customHeight="1" x14ac:dyDescent="0.3">
      <c r="A27" s="1" t="s">
        <v>120</v>
      </c>
      <c r="B27" s="1" t="s">
        <v>73</v>
      </c>
      <c r="C27" s="1" t="s">
        <v>54</v>
      </c>
      <c r="D27" s="1">
        <v>1</v>
      </c>
      <c r="E27" s="1">
        <v>1</v>
      </c>
      <c r="F27" s="1">
        <v>0</v>
      </c>
      <c r="G27" s="1">
        <v>0</v>
      </c>
      <c r="H27" s="1">
        <v>0</v>
      </c>
      <c r="I27" s="1">
        <v>1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1</v>
      </c>
      <c r="Z27" s="1">
        <v>1</v>
      </c>
      <c r="AA27" s="1">
        <v>0</v>
      </c>
      <c r="AB27" s="1">
        <v>1</v>
      </c>
      <c r="AC27" s="1">
        <v>0</v>
      </c>
      <c r="AD27" s="1">
        <v>1</v>
      </c>
      <c r="AE27" s="1">
        <v>1</v>
      </c>
      <c r="AF27" s="1">
        <v>1</v>
      </c>
      <c r="AG27" s="1">
        <v>0</v>
      </c>
      <c r="AH27" s="1">
        <v>1</v>
      </c>
      <c r="AI27" s="1">
        <v>0</v>
      </c>
      <c r="AJ27" s="1">
        <v>1</v>
      </c>
      <c r="AK27" s="1">
        <v>1</v>
      </c>
      <c r="AL27" s="1">
        <v>1</v>
      </c>
      <c r="AM27" s="1">
        <v>0</v>
      </c>
      <c r="AN27" s="1">
        <v>1</v>
      </c>
      <c r="AO27" s="1">
        <v>1</v>
      </c>
      <c r="AP27" s="1">
        <v>0</v>
      </c>
      <c r="AQ27" s="1">
        <v>1</v>
      </c>
      <c r="AR27" s="1">
        <v>1</v>
      </c>
      <c r="AS27" s="1">
        <v>1</v>
      </c>
      <c r="AT27" s="1">
        <v>1</v>
      </c>
      <c r="AU27" s="1">
        <v>0</v>
      </c>
      <c r="AV27" s="1">
        <v>1</v>
      </c>
      <c r="AW27" s="1">
        <f t="shared" si="0"/>
        <v>20</v>
      </c>
      <c r="AX27" s="1" t="s">
        <v>55</v>
      </c>
      <c r="AY27" s="1">
        <v>2018</v>
      </c>
      <c r="AZ27" s="1" t="s">
        <v>121</v>
      </c>
    </row>
    <row r="28" spans="1:52" s="1" customFormat="1" ht="18" customHeight="1" x14ac:dyDescent="0.3">
      <c r="A28" s="6" t="s">
        <v>122</v>
      </c>
      <c r="B28" s="1" t="s">
        <v>73</v>
      </c>
      <c r="C28" s="1" t="s">
        <v>54</v>
      </c>
      <c r="D28" s="1">
        <v>1</v>
      </c>
      <c r="E28" s="1">
        <v>1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1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1</v>
      </c>
      <c r="Y28" s="1">
        <v>0</v>
      </c>
      <c r="Z28" s="1">
        <v>0</v>
      </c>
      <c r="AA28" s="1">
        <v>1</v>
      </c>
      <c r="AB28" s="1">
        <v>1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1</v>
      </c>
      <c r="AS28" s="1">
        <v>0</v>
      </c>
      <c r="AT28" s="1">
        <v>0</v>
      </c>
      <c r="AU28" s="1">
        <v>0</v>
      </c>
      <c r="AV28" s="1">
        <v>1</v>
      </c>
      <c r="AW28" s="1">
        <f t="shared" si="0"/>
        <v>8</v>
      </c>
      <c r="AX28" s="1" t="s">
        <v>123</v>
      </c>
      <c r="AY28" s="1" t="s">
        <v>124</v>
      </c>
      <c r="AZ28" s="1" t="s">
        <v>125</v>
      </c>
    </row>
    <row r="29" spans="1:52" s="1" customFormat="1" ht="18" customHeight="1" x14ac:dyDescent="0.3">
      <c r="A29" s="1" t="s">
        <v>126</v>
      </c>
      <c r="B29" s="1" t="s">
        <v>73</v>
      </c>
      <c r="C29" s="1" t="s">
        <v>54</v>
      </c>
      <c r="D29" s="1">
        <v>1</v>
      </c>
      <c r="E29" s="1">
        <v>1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1</v>
      </c>
      <c r="AB29" s="1">
        <v>1</v>
      </c>
      <c r="AC29" s="1">
        <v>0</v>
      </c>
      <c r="AD29" s="1">
        <v>0</v>
      </c>
      <c r="AE29" s="1">
        <v>1</v>
      </c>
      <c r="AF29" s="1">
        <v>1</v>
      </c>
      <c r="AG29" s="1">
        <v>0</v>
      </c>
      <c r="AH29" s="1">
        <v>1</v>
      </c>
      <c r="AI29" s="1">
        <v>0</v>
      </c>
      <c r="AJ29" s="1">
        <v>0</v>
      </c>
      <c r="AK29" s="1">
        <v>1</v>
      </c>
      <c r="AL29" s="1">
        <v>1</v>
      </c>
      <c r="AM29" s="1">
        <v>0</v>
      </c>
      <c r="AN29" s="1">
        <v>1</v>
      </c>
      <c r="AO29" s="1">
        <v>0</v>
      </c>
      <c r="AP29" s="1">
        <v>1</v>
      </c>
      <c r="AQ29" s="1">
        <v>0</v>
      </c>
      <c r="AR29" s="1">
        <v>1</v>
      </c>
      <c r="AS29" s="1">
        <v>1</v>
      </c>
      <c r="AT29" s="1">
        <v>1</v>
      </c>
      <c r="AU29" s="1">
        <v>0</v>
      </c>
      <c r="AV29" s="1">
        <v>0</v>
      </c>
      <c r="AW29" s="1">
        <f t="shared" si="0"/>
        <v>14</v>
      </c>
      <c r="AX29" s="1" t="s">
        <v>79</v>
      </c>
      <c r="AY29" s="1">
        <v>2019</v>
      </c>
      <c r="AZ29" s="1" t="s">
        <v>127</v>
      </c>
    </row>
    <row r="30" spans="1:52" s="1" customFormat="1" ht="18" customHeight="1" x14ac:dyDescent="0.3">
      <c r="A30" s="1" t="s">
        <v>128</v>
      </c>
      <c r="B30" s="1" t="s">
        <v>129</v>
      </c>
      <c r="C30" s="1" t="s">
        <v>54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1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f t="shared" si="0"/>
        <v>1</v>
      </c>
      <c r="AX30" s="1" t="s">
        <v>55</v>
      </c>
      <c r="AY30" s="1">
        <v>2002</v>
      </c>
      <c r="AZ30" s="1" t="s">
        <v>130</v>
      </c>
    </row>
    <row r="31" spans="1:52" s="1" customFormat="1" ht="18" customHeight="1" x14ac:dyDescent="0.3">
      <c r="A31" s="1" t="s">
        <v>131</v>
      </c>
      <c r="B31" s="1" t="s">
        <v>132</v>
      </c>
      <c r="C31" s="1" t="s">
        <v>54</v>
      </c>
      <c r="D31" s="1">
        <v>0</v>
      </c>
      <c r="E31" s="1">
        <v>1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1</v>
      </c>
      <c r="U31" s="1">
        <v>0</v>
      </c>
      <c r="V31" s="1">
        <v>0</v>
      </c>
      <c r="W31" s="1">
        <v>0</v>
      </c>
      <c r="X31" s="1">
        <v>0</v>
      </c>
      <c r="Y31" s="1">
        <v>1</v>
      </c>
      <c r="Z31" s="1">
        <v>1</v>
      </c>
      <c r="AA31" s="1">
        <v>6</v>
      </c>
      <c r="AB31" s="1">
        <v>0</v>
      </c>
      <c r="AC31" s="1">
        <v>0</v>
      </c>
      <c r="AD31" s="1">
        <v>0</v>
      </c>
      <c r="AE31" s="1">
        <v>0</v>
      </c>
      <c r="AF31" s="1">
        <v>1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1</v>
      </c>
      <c r="AO31" s="1">
        <v>0</v>
      </c>
      <c r="AP31" s="1">
        <v>0</v>
      </c>
      <c r="AQ31" s="1">
        <v>0</v>
      </c>
      <c r="AR31" s="1">
        <v>1</v>
      </c>
      <c r="AS31" s="1">
        <v>1</v>
      </c>
      <c r="AT31" s="1">
        <v>1</v>
      </c>
      <c r="AU31" s="1">
        <v>0</v>
      </c>
      <c r="AV31" s="1">
        <v>1</v>
      </c>
      <c r="AW31" s="1">
        <f t="shared" si="0"/>
        <v>16</v>
      </c>
      <c r="AX31" s="1" t="s">
        <v>55</v>
      </c>
      <c r="AY31" s="1">
        <v>2019</v>
      </c>
      <c r="AZ31" s="1" t="s">
        <v>133</v>
      </c>
    </row>
    <row r="32" spans="1:52" s="1" customFormat="1" ht="18" customHeight="1" x14ac:dyDescent="0.3">
      <c r="A32" s="1" t="s">
        <v>134</v>
      </c>
      <c r="B32" s="1" t="s">
        <v>58</v>
      </c>
      <c r="C32" s="1" t="s">
        <v>54</v>
      </c>
      <c r="D32" s="1">
        <v>1</v>
      </c>
      <c r="E32" s="1">
        <v>1</v>
      </c>
      <c r="F32" s="1">
        <v>0</v>
      </c>
      <c r="G32" s="1">
        <v>0</v>
      </c>
      <c r="H32" s="1">
        <v>0</v>
      </c>
      <c r="I32" s="1">
        <v>1</v>
      </c>
      <c r="J32" s="1">
        <v>1</v>
      </c>
      <c r="K32" s="1">
        <v>0</v>
      </c>
      <c r="L32" s="1">
        <v>1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1</v>
      </c>
      <c r="T32" s="1">
        <v>1</v>
      </c>
      <c r="U32" s="1">
        <v>0</v>
      </c>
      <c r="V32" s="1">
        <v>0</v>
      </c>
      <c r="W32" s="1">
        <v>1</v>
      </c>
      <c r="X32" s="1">
        <v>0</v>
      </c>
      <c r="Y32" s="1">
        <v>1</v>
      </c>
      <c r="Z32" s="1">
        <v>0</v>
      </c>
      <c r="AA32" s="1">
        <v>1</v>
      </c>
      <c r="AB32" s="1">
        <v>1</v>
      </c>
      <c r="AC32" s="1">
        <v>1</v>
      </c>
      <c r="AD32" s="1">
        <v>0</v>
      </c>
      <c r="AE32" s="1">
        <v>0</v>
      </c>
      <c r="AF32" s="1">
        <v>0</v>
      </c>
      <c r="AG32" s="1">
        <v>0</v>
      </c>
      <c r="AH32" s="1">
        <v>1</v>
      </c>
      <c r="AI32" s="1">
        <v>0</v>
      </c>
      <c r="AJ32" s="1">
        <v>1</v>
      </c>
      <c r="AK32" s="1">
        <v>0</v>
      </c>
      <c r="AL32" s="1">
        <v>0</v>
      </c>
      <c r="AM32" s="1">
        <v>0</v>
      </c>
      <c r="AN32" s="1">
        <v>1</v>
      </c>
      <c r="AO32" s="1">
        <v>0</v>
      </c>
      <c r="AP32" s="1">
        <v>0</v>
      </c>
      <c r="AQ32" s="1">
        <v>0</v>
      </c>
      <c r="AR32" s="1">
        <v>1</v>
      </c>
      <c r="AS32" s="1">
        <v>0</v>
      </c>
      <c r="AT32" s="1">
        <v>0</v>
      </c>
      <c r="AU32" s="1">
        <v>0</v>
      </c>
      <c r="AV32" s="1">
        <v>0</v>
      </c>
      <c r="AW32" s="1">
        <f t="shared" si="0"/>
        <v>16</v>
      </c>
      <c r="AX32" s="1" t="s">
        <v>135</v>
      </c>
      <c r="AY32" s="1">
        <v>2024</v>
      </c>
      <c r="AZ32" s="1" t="s">
        <v>136</v>
      </c>
    </row>
    <row r="33" spans="1:52" s="1" customFormat="1" ht="18" customHeight="1" x14ac:dyDescent="0.3">
      <c r="A33" s="1" t="s">
        <v>137</v>
      </c>
      <c r="B33" s="1" t="s">
        <v>58</v>
      </c>
      <c r="C33" s="1" t="s">
        <v>54</v>
      </c>
      <c r="D33" s="1">
        <v>0</v>
      </c>
      <c r="E33" s="1">
        <v>0</v>
      </c>
      <c r="F33" s="1">
        <v>1</v>
      </c>
      <c r="G33" s="1">
        <v>1</v>
      </c>
      <c r="H33" s="1">
        <v>0</v>
      </c>
      <c r="I33" s="1">
        <v>0</v>
      </c>
      <c r="J33" s="1">
        <v>1</v>
      </c>
      <c r="K33" s="1">
        <v>1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1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f t="shared" si="0"/>
        <v>5</v>
      </c>
      <c r="AX33" s="1" t="s">
        <v>135</v>
      </c>
      <c r="AY33" s="1">
        <v>2017</v>
      </c>
      <c r="AZ33" s="1" t="s">
        <v>138</v>
      </c>
    </row>
    <row r="34" spans="1:52" s="1" customFormat="1" ht="18" customHeight="1" x14ac:dyDescent="0.3">
      <c r="A34" s="1" t="s">
        <v>139</v>
      </c>
      <c r="B34" s="1" t="s">
        <v>129</v>
      </c>
      <c r="C34" s="1" t="s">
        <v>54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1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1</v>
      </c>
      <c r="R34" s="1">
        <v>0</v>
      </c>
      <c r="S34" s="1">
        <v>1</v>
      </c>
      <c r="T34" s="1">
        <v>0</v>
      </c>
      <c r="U34" s="1">
        <v>0</v>
      </c>
      <c r="V34" s="1">
        <v>0</v>
      </c>
      <c r="W34" s="1">
        <v>1</v>
      </c>
      <c r="X34" s="1">
        <v>1</v>
      </c>
      <c r="Y34" s="1">
        <v>0</v>
      </c>
      <c r="Z34" s="1">
        <v>1</v>
      </c>
      <c r="AA34" s="1">
        <v>0</v>
      </c>
      <c r="AB34" s="1">
        <v>1</v>
      </c>
      <c r="AC34" s="1">
        <v>1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1</v>
      </c>
      <c r="AL34" s="1">
        <v>1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f t="shared" ref="AW34:AW65" si="1">SUM(D34:AV34)</f>
        <v>10</v>
      </c>
      <c r="AX34" s="1" t="s">
        <v>140</v>
      </c>
      <c r="AY34" s="1">
        <v>2025</v>
      </c>
      <c r="AZ34" s="1" t="s">
        <v>141</v>
      </c>
    </row>
    <row r="35" spans="1:52" s="1" customFormat="1" ht="18" customHeight="1" x14ac:dyDescent="0.3">
      <c r="A35" s="1" t="s">
        <v>142</v>
      </c>
      <c r="B35" s="1" t="s">
        <v>96</v>
      </c>
      <c r="C35" s="1" t="s">
        <v>54</v>
      </c>
      <c r="D35" s="1">
        <v>1</v>
      </c>
      <c r="E35" s="1">
        <v>1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1</v>
      </c>
      <c r="S35" s="1">
        <v>1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5">
        <v>0</v>
      </c>
      <c r="AD35" s="1">
        <v>1</v>
      </c>
      <c r="AE35" s="5">
        <v>0</v>
      </c>
      <c r="AF35" s="1">
        <v>1</v>
      </c>
      <c r="AG35" s="5">
        <v>0</v>
      </c>
      <c r="AH35" s="1">
        <v>1</v>
      </c>
      <c r="AI35" s="5">
        <v>0</v>
      </c>
      <c r="AJ35" s="1">
        <v>1</v>
      </c>
      <c r="AK35" s="1">
        <v>1</v>
      </c>
      <c r="AL35" s="5">
        <v>0</v>
      </c>
      <c r="AM35" s="1">
        <v>1</v>
      </c>
      <c r="AN35" s="1">
        <v>1</v>
      </c>
      <c r="AO35" s="1">
        <v>1</v>
      </c>
      <c r="AP35" s="1">
        <v>1</v>
      </c>
      <c r="AQ35" s="5">
        <v>0</v>
      </c>
      <c r="AR35" s="1">
        <v>1</v>
      </c>
      <c r="AS35" s="1">
        <v>1</v>
      </c>
      <c r="AT35" s="1">
        <v>1</v>
      </c>
      <c r="AU35" s="5">
        <v>0</v>
      </c>
      <c r="AV35" s="1">
        <v>1</v>
      </c>
      <c r="AW35" s="1">
        <f t="shared" si="1"/>
        <v>17</v>
      </c>
      <c r="AX35" s="1" t="s">
        <v>55</v>
      </c>
      <c r="AY35" s="1">
        <v>2019</v>
      </c>
      <c r="AZ35" s="1" t="s">
        <v>133</v>
      </c>
    </row>
    <row r="36" spans="1:52" s="1" customFormat="1" ht="18" customHeight="1" x14ac:dyDescent="0.3">
      <c r="A36" s="6" t="s">
        <v>143</v>
      </c>
      <c r="B36" s="1" t="s">
        <v>53</v>
      </c>
      <c r="C36" s="1" t="s">
        <v>54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1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1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f t="shared" si="1"/>
        <v>2</v>
      </c>
      <c r="AX36" s="1" t="s">
        <v>55</v>
      </c>
      <c r="AY36" s="1" t="s">
        <v>144</v>
      </c>
      <c r="AZ36" s="1" t="s">
        <v>145</v>
      </c>
    </row>
    <row r="37" spans="1:52" s="1" customFormat="1" ht="18" customHeight="1" x14ac:dyDescent="0.3">
      <c r="A37" s="1" t="s">
        <v>146</v>
      </c>
      <c r="B37" s="1" t="s">
        <v>129</v>
      </c>
      <c r="C37" s="1" t="s">
        <v>54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1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f t="shared" si="1"/>
        <v>1</v>
      </c>
      <c r="AX37" s="1" t="s">
        <v>55</v>
      </c>
      <c r="AY37" s="1">
        <v>2002</v>
      </c>
      <c r="AZ37" s="1" t="s">
        <v>130</v>
      </c>
    </row>
    <row r="38" spans="1:52" s="1" customFormat="1" ht="18" customHeight="1" x14ac:dyDescent="0.3">
      <c r="A38" s="1" t="s">
        <v>147</v>
      </c>
      <c r="B38" s="1" t="s">
        <v>58</v>
      </c>
      <c r="C38" s="1" t="s">
        <v>54</v>
      </c>
      <c r="D38" s="1">
        <v>0</v>
      </c>
      <c r="E38" s="1">
        <v>1</v>
      </c>
      <c r="F38" s="1">
        <v>0</v>
      </c>
      <c r="G38" s="1">
        <v>0</v>
      </c>
      <c r="H38" s="1">
        <v>0</v>
      </c>
      <c r="I38" s="1">
        <v>0</v>
      </c>
      <c r="J38" s="1">
        <v>1</v>
      </c>
      <c r="K38" s="1">
        <v>0</v>
      </c>
      <c r="L38" s="1">
        <v>1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1</v>
      </c>
      <c r="AC38" s="1">
        <v>1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1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f t="shared" si="1"/>
        <v>6</v>
      </c>
      <c r="AX38" s="1" t="s">
        <v>89</v>
      </c>
      <c r="AY38" s="1">
        <v>2013</v>
      </c>
      <c r="AZ38" s="1" t="s">
        <v>148</v>
      </c>
    </row>
    <row r="39" spans="1:52" s="1" customFormat="1" ht="18" customHeight="1" x14ac:dyDescent="0.3">
      <c r="A39" s="1" t="s">
        <v>149</v>
      </c>
      <c r="B39" s="1" t="s">
        <v>132</v>
      </c>
      <c r="C39" s="1" t="s">
        <v>54</v>
      </c>
      <c r="D39" s="1">
        <v>1</v>
      </c>
      <c r="E39" s="1">
        <v>1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1</v>
      </c>
      <c r="S39" s="1">
        <v>1</v>
      </c>
      <c r="T39" s="1">
        <v>1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1</v>
      </c>
      <c r="AA39" s="1">
        <v>0</v>
      </c>
      <c r="AB39" s="1">
        <v>9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1</v>
      </c>
      <c r="AI39" s="1">
        <v>1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f t="shared" si="1"/>
        <v>17</v>
      </c>
      <c r="AX39" s="1" t="s">
        <v>55</v>
      </c>
      <c r="AY39" s="1">
        <v>2015</v>
      </c>
      <c r="AZ39" s="1" t="s">
        <v>66</v>
      </c>
    </row>
    <row r="40" spans="1:52" s="1" customFormat="1" ht="18" customHeight="1" x14ac:dyDescent="0.3">
      <c r="A40" s="1" t="s">
        <v>150</v>
      </c>
      <c r="B40" s="1" t="s">
        <v>58</v>
      </c>
      <c r="C40" s="1" t="s">
        <v>54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1">
        <v>1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1">
        <f t="shared" si="1"/>
        <v>1</v>
      </c>
      <c r="AX40" s="1" t="s">
        <v>59</v>
      </c>
      <c r="AY40" s="1">
        <v>2021</v>
      </c>
      <c r="AZ40" s="1" t="s">
        <v>119</v>
      </c>
    </row>
    <row r="41" spans="1:52" s="1" customFormat="1" ht="18" customHeight="1" x14ac:dyDescent="0.3">
      <c r="A41" s="1" t="s">
        <v>151</v>
      </c>
      <c r="B41" s="1" t="s">
        <v>73</v>
      </c>
      <c r="C41" s="1" t="s">
        <v>54</v>
      </c>
      <c r="D41" s="1">
        <v>0</v>
      </c>
      <c r="E41" s="1">
        <v>1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1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f t="shared" si="1"/>
        <v>2</v>
      </c>
      <c r="AX41" s="1" t="s">
        <v>55</v>
      </c>
      <c r="AY41" s="1">
        <v>2021</v>
      </c>
      <c r="AZ41" s="1" t="s">
        <v>113</v>
      </c>
    </row>
    <row r="42" spans="1:52" s="1" customFormat="1" ht="18" customHeight="1" x14ac:dyDescent="0.3">
      <c r="A42" s="1" t="s">
        <v>152</v>
      </c>
      <c r="B42" s="1" t="s">
        <v>132</v>
      </c>
      <c r="C42" s="1" t="s">
        <v>54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1">
        <v>1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1">
        <f t="shared" si="1"/>
        <v>1</v>
      </c>
      <c r="AX42" s="1" t="s">
        <v>153</v>
      </c>
      <c r="AY42" s="1">
        <v>2022</v>
      </c>
      <c r="AZ42" s="1" t="s">
        <v>154</v>
      </c>
    </row>
    <row r="43" spans="1:52" s="1" customFormat="1" ht="18" customHeight="1" x14ac:dyDescent="0.3">
      <c r="A43" s="1" t="s">
        <v>155</v>
      </c>
      <c r="B43" s="1" t="s">
        <v>132</v>
      </c>
      <c r="C43" s="1" t="s">
        <v>54</v>
      </c>
      <c r="D43" s="1">
        <v>0</v>
      </c>
      <c r="E43" s="1">
        <v>1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1</v>
      </c>
      <c r="S43" s="1">
        <v>1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f t="shared" si="1"/>
        <v>3</v>
      </c>
      <c r="AX43" s="1" t="s">
        <v>55</v>
      </c>
      <c r="AY43" s="1">
        <v>2023</v>
      </c>
      <c r="AZ43" s="1" t="s">
        <v>156</v>
      </c>
    </row>
    <row r="44" spans="1:52" s="1" customFormat="1" ht="18" customHeight="1" x14ac:dyDescent="0.3">
      <c r="A44" s="1" t="s">
        <v>157</v>
      </c>
      <c r="B44" s="1" t="s">
        <v>132</v>
      </c>
      <c r="C44" s="1" t="s">
        <v>54</v>
      </c>
      <c r="D44" s="1">
        <v>1</v>
      </c>
      <c r="E44" s="1">
        <v>1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1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1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f t="shared" si="1"/>
        <v>4</v>
      </c>
      <c r="AX44" s="1" t="s">
        <v>55</v>
      </c>
      <c r="AY44" s="1">
        <v>2019</v>
      </c>
      <c r="AZ44" s="1" t="s">
        <v>158</v>
      </c>
    </row>
    <row r="45" spans="1:52" s="1" customFormat="1" ht="18" customHeight="1" x14ac:dyDescent="0.3">
      <c r="A45" s="1" t="s">
        <v>159</v>
      </c>
      <c r="B45" s="1" t="s">
        <v>58</v>
      </c>
      <c r="C45" s="1" t="s">
        <v>54</v>
      </c>
      <c r="D45" s="1">
        <v>0</v>
      </c>
      <c r="E45" s="1">
        <v>1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1</v>
      </c>
      <c r="X45" s="1">
        <v>0</v>
      </c>
      <c r="Y45" s="1">
        <v>0</v>
      </c>
      <c r="Z45" s="1">
        <v>0</v>
      </c>
      <c r="AA45" s="1">
        <v>1</v>
      </c>
      <c r="AB45" s="1">
        <v>1</v>
      </c>
      <c r="AC45" s="1">
        <v>1</v>
      </c>
      <c r="AD45" s="1">
        <v>0</v>
      </c>
      <c r="AE45" s="1">
        <v>0</v>
      </c>
      <c r="AF45" s="1">
        <v>0</v>
      </c>
      <c r="AG45" s="1">
        <v>0</v>
      </c>
      <c r="AH45" s="1">
        <v>1</v>
      </c>
      <c r="AI45" s="1">
        <v>0</v>
      </c>
      <c r="AJ45" s="1">
        <v>1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1</v>
      </c>
      <c r="AV45" s="1">
        <v>0</v>
      </c>
      <c r="AW45" s="1">
        <f t="shared" si="1"/>
        <v>8</v>
      </c>
      <c r="AX45" s="1" t="s">
        <v>55</v>
      </c>
      <c r="AY45" s="1">
        <v>2013</v>
      </c>
      <c r="AZ45" s="1" t="s">
        <v>160</v>
      </c>
    </row>
    <row r="46" spans="1:52" s="1" customFormat="1" ht="18" customHeight="1" x14ac:dyDescent="0.3">
      <c r="A46" s="6" t="s">
        <v>161</v>
      </c>
      <c r="B46" s="1" t="s">
        <v>73</v>
      </c>
      <c r="C46" s="1" t="s">
        <v>54</v>
      </c>
      <c r="D46" s="1">
        <v>1</v>
      </c>
      <c r="E46" s="1">
        <v>1</v>
      </c>
      <c r="F46" s="1">
        <v>0</v>
      </c>
      <c r="G46" s="1">
        <v>0</v>
      </c>
      <c r="H46" s="1">
        <v>0</v>
      </c>
      <c r="I46" s="1">
        <v>0</v>
      </c>
      <c r="J46" s="1">
        <v>1</v>
      </c>
      <c r="K46" s="1">
        <v>0</v>
      </c>
      <c r="L46" s="1">
        <v>1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1</v>
      </c>
      <c r="S46" s="1">
        <v>0</v>
      </c>
      <c r="T46" s="1">
        <v>1</v>
      </c>
      <c r="U46" s="1">
        <v>0</v>
      </c>
      <c r="V46" s="1">
        <v>0</v>
      </c>
      <c r="W46" s="1">
        <v>0</v>
      </c>
      <c r="X46" s="1">
        <v>1</v>
      </c>
      <c r="Y46" s="1">
        <v>1</v>
      </c>
      <c r="Z46" s="1">
        <v>1</v>
      </c>
      <c r="AA46" s="1">
        <v>1</v>
      </c>
      <c r="AB46" s="1">
        <v>1</v>
      </c>
      <c r="AC46" s="1">
        <v>0</v>
      </c>
      <c r="AD46" s="1">
        <v>0</v>
      </c>
      <c r="AE46" s="1">
        <v>1</v>
      </c>
      <c r="AF46" s="1">
        <v>1</v>
      </c>
      <c r="AG46" s="1">
        <v>0</v>
      </c>
      <c r="AH46" s="1">
        <v>1</v>
      </c>
      <c r="AI46" s="1">
        <v>0</v>
      </c>
      <c r="AJ46" s="1">
        <v>1</v>
      </c>
      <c r="AK46" s="1">
        <v>1</v>
      </c>
      <c r="AL46" s="1">
        <v>1</v>
      </c>
      <c r="AM46" s="1">
        <v>1</v>
      </c>
      <c r="AN46" s="1">
        <v>1</v>
      </c>
      <c r="AO46" s="1">
        <v>1</v>
      </c>
      <c r="AP46" s="1">
        <v>1</v>
      </c>
      <c r="AQ46" s="1">
        <v>1</v>
      </c>
      <c r="AR46" s="1">
        <v>0</v>
      </c>
      <c r="AS46" s="1">
        <v>1</v>
      </c>
      <c r="AT46" s="1">
        <v>1</v>
      </c>
      <c r="AU46" s="1">
        <v>0</v>
      </c>
      <c r="AV46" s="1">
        <v>1</v>
      </c>
      <c r="AW46" s="1">
        <f t="shared" si="1"/>
        <v>25</v>
      </c>
      <c r="AX46" s="1" t="s">
        <v>55</v>
      </c>
      <c r="AY46" s="1" t="s">
        <v>162</v>
      </c>
      <c r="AZ46" s="1" t="s">
        <v>163</v>
      </c>
    </row>
    <row r="47" spans="1:52" s="1" customFormat="1" ht="18" customHeight="1" x14ac:dyDescent="0.3">
      <c r="A47" s="1" t="s">
        <v>164</v>
      </c>
      <c r="B47" s="1" t="s">
        <v>129</v>
      </c>
      <c r="C47" s="1" t="s">
        <v>54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1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f t="shared" si="1"/>
        <v>1</v>
      </c>
      <c r="AX47" s="1" t="s">
        <v>55</v>
      </c>
      <c r="AY47" s="1">
        <v>2002</v>
      </c>
      <c r="AZ47" s="1" t="s">
        <v>130</v>
      </c>
    </row>
    <row r="48" spans="1:52" s="1" customFormat="1" ht="18" customHeight="1" x14ac:dyDescent="0.3">
      <c r="A48" s="6" t="s">
        <v>165</v>
      </c>
      <c r="B48" s="1" t="s">
        <v>132</v>
      </c>
      <c r="C48" s="1" t="s">
        <v>54</v>
      </c>
      <c r="D48" s="1">
        <v>1</v>
      </c>
      <c r="E48" s="1">
        <v>1</v>
      </c>
      <c r="F48" s="1">
        <v>0</v>
      </c>
      <c r="G48" s="1">
        <v>0</v>
      </c>
      <c r="H48" s="1">
        <v>0</v>
      </c>
      <c r="I48" s="1">
        <v>1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1</v>
      </c>
      <c r="T48" s="1">
        <v>1</v>
      </c>
      <c r="U48" s="1">
        <v>0</v>
      </c>
      <c r="V48" s="1">
        <v>1</v>
      </c>
      <c r="W48" s="1">
        <v>0</v>
      </c>
      <c r="X48" s="1">
        <v>1</v>
      </c>
      <c r="Y48" s="1">
        <v>1</v>
      </c>
      <c r="Z48" s="1">
        <v>1</v>
      </c>
      <c r="AA48" s="1">
        <v>1</v>
      </c>
      <c r="AB48" s="1">
        <v>1</v>
      </c>
      <c r="AC48" s="1">
        <v>1</v>
      </c>
      <c r="AD48" s="1">
        <v>0</v>
      </c>
      <c r="AE48" s="1">
        <v>0</v>
      </c>
      <c r="AF48" s="1">
        <v>1</v>
      </c>
      <c r="AG48" s="1">
        <v>0</v>
      </c>
      <c r="AH48" s="1">
        <v>0</v>
      </c>
      <c r="AI48" s="1">
        <v>0</v>
      </c>
      <c r="AJ48" s="1">
        <v>1</v>
      </c>
      <c r="AK48" s="1">
        <v>1</v>
      </c>
      <c r="AL48" s="1">
        <v>0</v>
      </c>
      <c r="AM48" s="1">
        <v>1</v>
      </c>
      <c r="AN48" s="1">
        <v>1</v>
      </c>
      <c r="AO48" s="1">
        <v>1</v>
      </c>
      <c r="AP48" s="1">
        <v>0</v>
      </c>
      <c r="AQ48" s="1">
        <v>1</v>
      </c>
      <c r="AR48" s="1">
        <v>0</v>
      </c>
      <c r="AS48" s="1">
        <v>1</v>
      </c>
      <c r="AT48" s="1">
        <v>1</v>
      </c>
      <c r="AU48" s="1">
        <v>0</v>
      </c>
      <c r="AV48" s="1">
        <v>1</v>
      </c>
      <c r="AW48" s="1">
        <f t="shared" si="1"/>
        <v>22</v>
      </c>
      <c r="AX48" s="1" t="s">
        <v>55</v>
      </c>
      <c r="AY48" s="1" t="s">
        <v>166</v>
      </c>
      <c r="AZ48" s="1" t="s">
        <v>167</v>
      </c>
    </row>
    <row r="49" spans="1:52" s="1" customFormat="1" ht="18" customHeight="1" x14ac:dyDescent="0.3">
      <c r="A49" s="1" t="s">
        <v>168</v>
      </c>
      <c r="B49" s="1" t="s">
        <v>73</v>
      </c>
      <c r="C49" s="1" t="s">
        <v>54</v>
      </c>
      <c r="D49" s="1">
        <v>0</v>
      </c>
      <c r="E49" s="1">
        <v>1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1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f t="shared" si="1"/>
        <v>2</v>
      </c>
      <c r="AX49" s="1" t="s">
        <v>79</v>
      </c>
      <c r="AY49" s="1">
        <v>2017</v>
      </c>
      <c r="AZ49" s="1" t="s">
        <v>169</v>
      </c>
    </row>
    <row r="50" spans="1:52" s="1" customFormat="1" ht="18" customHeight="1" x14ac:dyDescent="0.3">
      <c r="A50" s="1" t="s">
        <v>170</v>
      </c>
      <c r="B50" s="1" t="s">
        <v>73</v>
      </c>
      <c r="C50" s="1" t="s">
        <v>54</v>
      </c>
      <c r="D50" s="1">
        <v>1</v>
      </c>
      <c r="E50" s="1">
        <v>1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1</v>
      </c>
      <c r="AB50" s="1">
        <v>1</v>
      </c>
      <c r="AC50" s="1">
        <v>0</v>
      </c>
      <c r="AD50" s="1">
        <v>0</v>
      </c>
      <c r="AE50" s="1">
        <v>1</v>
      </c>
      <c r="AF50" s="1">
        <v>1</v>
      </c>
      <c r="AG50" s="1">
        <v>1</v>
      </c>
      <c r="AH50" s="1">
        <v>1</v>
      </c>
      <c r="AI50" s="1">
        <v>0</v>
      </c>
      <c r="AJ50" s="1">
        <v>0</v>
      </c>
      <c r="AK50" s="1">
        <v>0</v>
      </c>
      <c r="AL50" s="1">
        <v>1</v>
      </c>
      <c r="AM50" s="1">
        <v>0</v>
      </c>
      <c r="AN50" s="1">
        <v>1</v>
      </c>
      <c r="AO50" s="1">
        <v>0</v>
      </c>
      <c r="AP50" s="1">
        <v>0</v>
      </c>
      <c r="AQ50" s="1">
        <v>0</v>
      </c>
      <c r="AR50" s="1">
        <v>1</v>
      </c>
      <c r="AS50" s="1">
        <v>0</v>
      </c>
      <c r="AT50" s="1">
        <v>0</v>
      </c>
      <c r="AU50" s="1">
        <v>0</v>
      </c>
      <c r="AV50" s="1">
        <v>0</v>
      </c>
      <c r="AW50" s="1">
        <f t="shared" si="1"/>
        <v>11</v>
      </c>
      <c r="AX50" s="1" t="s">
        <v>171</v>
      </c>
      <c r="AY50" s="1">
        <v>2022</v>
      </c>
      <c r="AZ50" s="1" t="s">
        <v>172</v>
      </c>
    </row>
    <row r="51" spans="1:52" s="1" customFormat="1" ht="18" customHeight="1" x14ac:dyDescent="0.3">
      <c r="A51" s="1" t="s">
        <v>173</v>
      </c>
      <c r="B51" s="1" t="s">
        <v>73</v>
      </c>
      <c r="C51" s="1" t="s">
        <v>54</v>
      </c>
      <c r="D51" s="1">
        <v>1</v>
      </c>
      <c r="E51" s="1">
        <v>1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1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1</v>
      </c>
      <c r="AB51" s="1">
        <v>1</v>
      </c>
      <c r="AC51" s="1">
        <v>0</v>
      </c>
      <c r="AD51" s="1">
        <v>0</v>
      </c>
      <c r="AE51" s="1">
        <v>0</v>
      </c>
      <c r="AF51" s="1">
        <v>0</v>
      </c>
      <c r="AG51" s="1">
        <v>1</v>
      </c>
      <c r="AH51" s="1">
        <v>0</v>
      </c>
      <c r="AI51" s="1">
        <v>0</v>
      </c>
      <c r="AJ51" s="1">
        <v>0</v>
      </c>
      <c r="AK51" s="1">
        <v>1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1</v>
      </c>
      <c r="AS51" s="1">
        <v>0</v>
      </c>
      <c r="AT51" s="1">
        <v>0</v>
      </c>
      <c r="AU51" s="1">
        <v>0</v>
      </c>
      <c r="AV51" s="1">
        <v>0</v>
      </c>
      <c r="AW51" s="1">
        <f t="shared" si="1"/>
        <v>8</v>
      </c>
      <c r="AX51" s="1" t="s">
        <v>174</v>
      </c>
      <c r="AY51" s="1">
        <v>2025</v>
      </c>
      <c r="AZ51" s="1" t="s">
        <v>175</v>
      </c>
    </row>
    <row r="52" spans="1:52" s="1" customFormat="1" ht="18" customHeight="1" x14ac:dyDescent="0.3">
      <c r="A52" s="1" t="s">
        <v>176</v>
      </c>
      <c r="B52" s="1" t="s">
        <v>58</v>
      </c>
      <c r="C52" s="1" t="s">
        <v>54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1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f t="shared" si="1"/>
        <v>1</v>
      </c>
      <c r="AX52" s="1" t="s">
        <v>89</v>
      </c>
      <c r="AY52" s="1">
        <v>2012</v>
      </c>
      <c r="AZ52" s="1" t="s">
        <v>177</v>
      </c>
    </row>
    <row r="53" spans="1:52" s="1" customFormat="1" ht="18" customHeight="1" x14ac:dyDescent="0.3">
      <c r="A53" s="1" t="s">
        <v>178</v>
      </c>
      <c r="B53" s="1" t="s">
        <v>179</v>
      </c>
      <c r="C53" s="1" t="s">
        <v>54</v>
      </c>
      <c r="D53" s="1">
        <v>1</v>
      </c>
      <c r="E53" s="1">
        <v>1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1</v>
      </c>
      <c r="Y53" s="1">
        <v>0</v>
      </c>
      <c r="Z53" s="1">
        <v>0</v>
      </c>
      <c r="AA53" s="1">
        <v>1</v>
      </c>
      <c r="AB53" s="1">
        <v>0</v>
      </c>
      <c r="AC53" s="1">
        <v>0</v>
      </c>
      <c r="AD53" s="1">
        <v>0</v>
      </c>
      <c r="AE53" s="1">
        <v>1</v>
      </c>
      <c r="AF53" s="1">
        <v>0</v>
      </c>
      <c r="AG53" s="1">
        <v>1</v>
      </c>
      <c r="AH53" s="1">
        <v>1</v>
      </c>
      <c r="AI53" s="1">
        <v>0</v>
      </c>
      <c r="AJ53" s="1">
        <v>0</v>
      </c>
      <c r="AK53" s="1">
        <v>1</v>
      </c>
      <c r="AL53" s="1">
        <v>0</v>
      </c>
      <c r="AM53" s="1">
        <v>1</v>
      </c>
      <c r="AN53" s="1">
        <v>1</v>
      </c>
      <c r="AO53" s="1">
        <v>0</v>
      </c>
      <c r="AP53" s="1">
        <v>0</v>
      </c>
      <c r="AQ53" s="1">
        <v>0</v>
      </c>
      <c r="AR53" s="1">
        <v>0</v>
      </c>
      <c r="AS53" s="1">
        <v>1</v>
      </c>
      <c r="AT53" s="1">
        <v>1</v>
      </c>
      <c r="AU53" s="1">
        <v>0</v>
      </c>
      <c r="AV53" s="1">
        <v>0</v>
      </c>
      <c r="AW53" s="1">
        <f t="shared" si="1"/>
        <v>12</v>
      </c>
      <c r="AX53" s="1" t="s">
        <v>79</v>
      </c>
      <c r="AY53" s="1">
        <v>2021</v>
      </c>
      <c r="AZ53" s="1" t="s">
        <v>80</v>
      </c>
    </row>
    <row r="54" spans="1:52" s="5" customFormat="1" ht="18" customHeight="1" x14ac:dyDescent="0.3">
      <c r="A54" s="1" t="s">
        <v>180</v>
      </c>
      <c r="B54" s="1" t="s">
        <v>53</v>
      </c>
      <c r="C54" s="1" t="s">
        <v>54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1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f t="shared" si="1"/>
        <v>1</v>
      </c>
      <c r="AX54" s="1" t="s">
        <v>55</v>
      </c>
      <c r="AY54" s="1">
        <v>2016</v>
      </c>
      <c r="AZ54" s="1" t="s">
        <v>181</v>
      </c>
    </row>
    <row r="55" spans="1:52" s="1" customFormat="1" ht="18" customHeight="1" x14ac:dyDescent="0.3">
      <c r="A55" s="1" t="s">
        <v>182</v>
      </c>
      <c r="B55" s="1" t="s">
        <v>53</v>
      </c>
      <c r="C55" s="1" t="s">
        <v>54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1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f t="shared" si="1"/>
        <v>1</v>
      </c>
      <c r="AX55" s="1" t="s">
        <v>55</v>
      </c>
      <c r="AY55" s="1">
        <v>2016</v>
      </c>
      <c r="AZ55" s="1" t="s">
        <v>181</v>
      </c>
    </row>
    <row r="56" spans="1:52" s="1" customFormat="1" ht="18" customHeight="1" x14ac:dyDescent="0.3">
      <c r="A56" s="6" t="s">
        <v>183</v>
      </c>
      <c r="B56" s="5" t="s">
        <v>58</v>
      </c>
      <c r="C56" s="5" t="s">
        <v>54</v>
      </c>
      <c r="D56" s="5">
        <v>0</v>
      </c>
      <c r="E56" s="5">
        <v>1</v>
      </c>
      <c r="F56" s="5">
        <v>0</v>
      </c>
      <c r="G56" s="5">
        <v>1</v>
      </c>
      <c r="H56" s="5">
        <v>0</v>
      </c>
      <c r="I56" s="5">
        <v>0</v>
      </c>
      <c r="J56" s="5">
        <v>1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1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  <c r="X56" s="5">
        <v>1</v>
      </c>
      <c r="Y56" s="5">
        <v>1</v>
      </c>
      <c r="Z56" s="5">
        <v>0</v>
      </c>
      <c r="AA56" s="5">
        <v>1</v>
      </c>
      <c r="AB56" s="5">
        <v>1</v>
      </c>
      <c r="AC56" s="5">
        <v>1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1</v>
      </c>
      <c r="AJ56" s="5">
        <v>1</v>
      </c>
      <c r="AK56" s="5">
        <v>1</v>
      </c>
      <c r="AL56" s="5">
        <v>0</v>
      </c>
      <c r="AM56" s="5">
        <v>0</v>
      </c>
      <c r="AN56" s="5">
        <v>1</v>
      </c>
      <c r="AO56" s="5">
        <v>0</v>
      </c>
      <c r="AP56" s="5">
        <v>0</v>
      </c>
      <c r="AQ56" s="5">
        <v>0</v>
      </c>
      <c r="AR56" s="5">
        <v>1</v>
      </c>
      <c r="AS56" s="5">
        <v>0</v>
      </c>
      <c r="AT56" s="5">
        <v>0</v>
      </c>
      <c r="AU56" s="5">
        <v>0</v>
      </c>
      <c r="AV56" s="5">
        <v>0</v>
      </c>
      <c r="AW56" s="5">
        <f t="shared" si="1"/>
        <v>15</v>
      </c>
      <c r="AX56" s="5" t="s">
        <v>184</v>
      </c>
      <c r="AY56" s="1" t="s">
        <v>185</v>
      </c>
      <c r="AZ56" s="1" t="s">
        <v>186</v>
      </c>
    </row>
    <row r="57" spans="1:52" s="1" customFormat="1" ht="18" customHeight="1" x14ac:dyDescent="0.3">
      <c r="A57" s="1" t="s">
        <v>187</v>
      </c>
      <c r="B57" s="1" t="s">
        <v>73</v>
      </c>
      <c r="C57" s="1" t="s">
        <v>54</v>
      </c>
      <c r="D57" s="4">
        <v>0</v>
      </c>
      <c r="E57" s="1">
        <v>1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1">
        <v>1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1">
        <f t="shared" si="1"/>
        <v>2</v>
      </c>
      <c r="AX57" s="1" t="s">
        <v>59</v>
      </c>
      <c r="AY57" s="1">
        <v>2017</v>
      </c>
      <c r="AZ57" s="1" t="s">
        <v>188</v>
      </c>
    </row>
    <row r="58" spans="1:52" s="1" customFormat="1" ht="18" customHeight="1" x14ac:dyDescent="0.3">
      <c r="A58" s="1" t="s">
        <v>189</v>
      </c>
      <c r="B58" s="1" t="s">
        <v>73</v>
      </c>
      <c r="C58" s="1" t="s">
        <v>54</v>
      </c>
      <c r="D58" s="1">
        <v>1</v>
      </c>
      <c r="E58" s="1">
        <v>1</v>
      </c>
      <c r="F58" s="1">
        <v>0</v>
      </c>
      <c r="G58" s="1">
        <v>0</v>
      </c>
      <c r="H58" s="1">
        <v>0</v>
      </c>
      <c r="I58" s="1">
        <v>0</v>
      </c>
      <c r="J58" s="1">
        <v>1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1</v>
      </c>
      <c r="AB58" s="1">
        <v>1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1</v>
      </c>
      <c r="AI58" s="1">
        <v>0</v>
      </c>
      <c r="AJ58" s="1">
        <v>1</v>
      </c>
      <c r="AK58" s="1">
        <v>1</v>
      </c>
      <c r="AL58" s="1">
        <v>1</v>
      </c>
      <c r="AM58" s="1">
        <v>0</v>
      </c>
      <c r="AN58" s="1">
        <v>1</v>
      </c>
      <c r="AO58" s="1">
        <v>0</v>
      </c>
      <c r="AP58" s="1">
        <v>0</v>
      </c>
      <c r="AQ58" s="1">
        <v>0</v>
      </c>
      <c r="AR58" s="1">
        <v>1</v>
      </c>
      <c r="AS58" s="1">
        <v>1</v>
      </c>
      <c r="AT58" s="1">
        <v>0</v>
      </c>
      <c r="AU58" s="1">
        <v>0</v>
      </c>
      <c r="AV58" s="1">
        <v>1</v>
      </c>
      <c r="AW58" s="1">
        <f t="shared" si="1"/>
        <v>13</v>
      </c>
      <c r="AX58" s="1" t="s">
        <v>55</v>
      </c>
      <c r="AY58" s="1">
        <v>2020</v>
      </c>
      <c r="AZ58" s="1" t="s">
        <v>190</v>
      </c>
    </row>
    <row r="59" spans="1:52" s="1" customFormat="1" ht="18" customHeight="1" x14ac:dyDescent="0.3">
      <c r="A59" s="1" t="s">
        <v>191</v>
      </c>
      <c r="B59" s="1" t="s">
        <v>73</v>
      </c>
      <c r="C59" s="1" t="s">
        <v>54</v>
      </c>
      <c r="D59" s="1">
        <v>1</v>
      </c>
      <c r="E59" s="1">
        <v>1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1</v>
      </c>
      <c r="AA59" s="1">
        <v>1</v>
      </c>
      <c r="AB59" s="1">
        <v>1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1</v>
      </c>
      <c r="AI59" s="1">
        <v>0</v>
      </c>
      <c r="AJ59" s="1">
        <v>1</v>
      </c>
      <c r="AK59" s="1">
        <v>1</v>
      </c>
      <c r="AL59" s="1">
        <v>1</v>
      </c>
      <c r="AM59" s="1">
        <v>1</v>
      </c>
      <c r="AN59" s="1">
        <v>1</v>
      </c>
      <c r="AO59" s="1">
        <v>0</v>
      </c>
      <c r="AP59" s="1">
        <v>0</v>
      </c>
      <c r="AQ59" s="1">
        <v>0</v>
      </c>
      <c r="AR59" s="1">
        <v>1</v>
      </c>
      <c r="AS59" s="1">
        <v>1</v>
      </c>
      <c r="AT59" s="1">
        <v>1</v>
      </c>
      <c r="AU59" s="1">
        <v>0</v>
      </c>
      <c r="AV59" s="1">
        <v>1</v>
      </c>
      <c r="AW59" s="1">
        <f t="shared" si="1"/>
        <v>15</v>
      </c>
      <c r="AX59" s="1" t="s">
        <v>55</v>
      </c>
      <c r="AY59" s="1">
        <v>2020</v>
      </c>
      <c r="AZ59" s="1" t="s">
        <v>190</v>
      </c>
    </row>
    <row r="60" spans="1:52" s="5" customFormat="1" ht="18" customHeight="1" x14ac:dyDescent="0.3">
      <c r="A60" s="1" t="s">
        <v>192</v>
      </c>
      <c r="B60" s="1" t="s">
        <v>53</v>
      </c>
      <c r="C60" s="1" t="s">
        <v>54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1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f t="shared" si="1"/>
        <v>1</v>
      </c>
      <c r="AX60" s="1" t="s">
        <v>55</v>
      </c>
      <c r="AY60" s="1">
        <v>2016</v>
      </c>
      <c r="AZ60" s="1" t="s">
        <v>181</v>
      </c>
    </row>
    <row r="61" spans="1:52" s="1" customFormat="1" ht="18" customHeight="1" x14ac:dyDescent="0.3">
      <c r="A61" s="1" t="s">
        <v>193</v>
      </c>
      <c r="B61" s="1" t="s">
        <v>78</v>
      </c>
      <c r="C61" s="1" t="s">
        <v>54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1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f t="shared" si="1"/>
        <v>1</v>
      </c>
      <c r="AX61" s="1" t="s">
        <v>79</v>
      </c>
      <c r="AY61" s="1">
        <v>2021</v>
      </c>
      <c r="AZ61" s="1" t="s">
        <v>80</v>
      </c>
    </row>
    <row r="62" spans="1:52" s="1" customFormat="1" ht="18" customHeight="1" x14ac:dyDescent="0.3">
      <c r="A62" s="1" t="s">
        <v>194</v>
      </c>
      <c r="B62" s="1" t="s">
        <v>58</v>
      </c>
      <c r="C62" s="1" t="s">
        <v>54</v>
      </c>
      <c r="D62" s="1">
        <v>0</v>
      </c>
      <c r="E62" s="1">
        <v>0</v>
      </c>
      <c r="F62" s="1">
        <v>1</v>
      </c>
      <c r="G62" s="1">
        <v>1</v>
      </c>
      <c r="H62" s="1">
        <v>0</v>
      </c>
      <c r="I62" s="1">
        <v>1</v>
      </c>
      <c r="J62" s="1">
        <v>1</v>
      </c>
      <c r="K62" s="1">
        <v>1</v>
      </c>
      <c r="L62" s="1">
        <v>1</v>
      </c>
      <c r="M62" s="1">
        <v>1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1</v>
      </c>
      <c r="T62" s="1">
        <v>0</v>
      </c>
      <c r="U62" s="1">
        <v>0</v>
      </c>
      <c r="V62" s="1">
        <v>0</v>
      </c>
      <c r="W62" s="1">
        <v>1</v>
      </c>
      <c r="X62" s="1">
        <v>0</v>
      </c>
      <c r="Y62" s="1">
        <v>1</v>
      </c>
      <c r="Z62" s="1">
        <v>1</v>
      </c>
      <c r="AA62" s="1">
        <v>1</v>
      </c>
      <c r="AB62" s="1">
        <v>1</v>
      </c>
      <c r="AC62" s="1">
        <v>1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1</v>
      </c>
      <c r="AT62" s="1">
        <v>1</v>
      </c>
      <c r="AU62" s="1">
        <v>0</v>
      </c>
      <c r="AV62" s="1">
        <v>0</v>
      </c>
      <c r="AW62" s="1">
        <f t="shared" si="1"/>
        <v>16</v>
      </c>
      <c r="AX62" s="1" t="s">
        <v>55</v>
      </c>
      <c r="AY62" s="1">
        <v>2017</v>
      </c>
      <c r="AZ62" s="1" t="s">
        <v>195</v>
      </c>
    </row>
    <row r="63" spans="1:52" s="1" customFormat="1" ht="18" customHeight="1" x14ac:dyDescent="0.3">
      <c r="A63" s="1" t="s">
        <v>196</v>
      </c>
      <c r="B63" s="1" t="s">
        <v>58</v>
      </c>
      <c r="C63" s="1" t="s">
        <v>54</v>
      </c>
      <c r="D63" s="1">
        <v>0</v>
      </c>
      <c r="E63" s="1">
        <v>0</v>
      </c>
      <c r="F63" s="1">
        <v>0</v>
      </c>
      <c r="G63" s="1">
        <v>1</v>
      </c>
      <c r="H63" s="1">
        <v>0</v>
      </c>
      <c r="I63" s="1">
        <v>0</v>
      </c>
      <c r="J63" s="1">
        <v>0</v>
      </c>
      <c r="K63" s="1">
        <v>1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1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f t="shared" si="1"/>
        <v>3</v>
      </c>
      <c r="AX63" s="1" t="s">
        <v>89</v>
      </c>
      <c r="AY63" s="1">
        <v>2012</v>
      </c>
      <c r="AZ63" s="1" t="s">
        <v>90</v>
      </c>
    </row>
    <row r="64" spans="1:52" s="1" customFormat="1" ht="18" customHeight="1" x14ac:dyDescent="0.3">
      <c r="A64" s="6" t="s">
        <v>197</v>
      </c>
      <c r="B64" s="1" t="s">
        <v>73</v>
      </c>
      <c r="C64" s="1" t="s">
        <v>54</v>
      </c>
      <c r="D64" s="1">
        <v>1</v>
      </c>
      <c r="E64" s="1">
        <v>1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1</v>
      </c>
      <c r="Y64" s="1">
        <v>1</v>
      </c>
      <c r="Z64" s="1">
        <v>1</v>
      </c>
      <c r="AA64" s="1">
        <v>1</v>
      </c>
      <c r="AB64" s="1">
        <v>1</v>
      </c>
      <c r="AC64" s="1">
        <v>0</v>
      </c>
      <c r="AD64" s="1">
        <v>0</v>
      </c>
      <c r="AE64" s="1">
        <v>0</v>
      </c>
      <c r="AF64" s="1">
        <v>0</v>
      </c>
      <c r="AG64" s="1">
        <v>1</v>
      </c>
      <c r="AH64" s="1">
        <v>1</v>
      </c>
      <c r="AI64" s="1">
        <v>0</v>
      </c>
      <c r="AJ64" s="1">
        <v>0</v>
      </c>
      <c r="AK64" s="1">
        <v>1</v>
      </c>
      <c r="AL64" s="1">
        <v>0</v>
      </c>
      <c r="AM64" s="1">
        <v>0</v>
      </c>
      <c r="AN64" s="1">
        <v>1</v>
      </c>
      <c r="AO64" s="1">
        <v>0</v>
      </c>
      <c r="AP64" s="1">
        <v>1</v>
      </c>
      <c r="AQ64" s="4">
        <v>0</v>
      </c>
      <c r="AR64" s="1">
        <v>1</v>
      </c>
      <c r="AS64" s="1">
        <v>1</v>
      </c>
      <c r="AT64" s="1">
        <v>0</v>
      </c>
      <c r="AU64" s="1">
        <v>0</v>
      </c>
      <c r="AV64" s="1">
        <v>1</v>
      </c>
      <c r="AW64" s="1">
        <f t="shared" si="1"/>
        <v>15</v>
      </c>
      <c r="AX64" s="1" t="s">
        <v>198</v>
      </c>
      <c r="AY64" s="1" t="s">
        <v>199</v>
      </c>
      <c r="AZ64" s="1" t="s">
        <v>200</v>
      </c>
    </row>
    <row r="65" spans="1:52" s="1" customFormat="1" ht="18" customHeight="1" x14ac:dyDescent="0.3">
      <c r="A65" s="1" t="s">
        <v>201</v>
      </c>
      <c r="B65" s="1" t="s">
        <v>53</v>
      </c>
      <c r="C65" s="1" t="s">
        <v>54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1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1</v>
      </c>
      <c r="AB65" s="1">
        <v>1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1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f t="shared" si="1"/>
        <v>4</v>
      </c>
      <c r="AX65" s="1" t="s">
        <v>202</v>
      </c>
      <c r="AY65" s="1">
        <v>2018</v>
      </c>
      <c r="AZ65" s="1" t="s">
        <v>203</v>
      </c>
    </row>
    <row r="66" spans="1:52" s="1" customFormat="1" ht="18" customHeight="1" x14ac:dyDescent="0.3">
      <c r="A66" s="1" t="s">
        <v>204</v>
      </c>
      <c r="B66" s="1" t="s">
        <v>98</v>
      </c>
      <c r="C66" s="1" t="s">
        <v>54</v>
      </c>
      <c r="D66" s="1">
        <v>1</v>
      </c>
      <c r="E66" s="1">
        <v>1</v>
      </c>
      <c r="F66" s="1">
        <v>0</v>
      </c>
      <c r="G66" s="1">
        <v>0</v>
      </c>
      <c r="H66" s="1">
        <v>0</v>
      </c>
      <c r="I66" s="1">
        <v>1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1</v>
      </c>
      <c r="T66" s="1">
        <v>1</v>
      </c>
      <c r="U66" s="1">
        <v>0</v>
      </c>
      <c r="V66" s="1">
        <v>0</v>
      </c>
      <c r="W66" s="1">
        <v>0</v>
      </c>
      <c r="X66" s="1">
        <v>0</v>
      </c>
      <c r="Y66" s="1">
        <v>1</v>
      </c>
      <c r="Z66" s="1">
        <v>1</v>
      </c>
      <c r="AA66" s="1">
        <v>1</v>
      </c>
      <c r="AB66" s="1">
        <v>1</v>
      </c>
      <c r="AC66" s="1">
        <v>0</v>
      </c>
      <c r="AD66" s="1">
        <v>0</v>
      </c>
      <c r="AE66" s="1">
        <v>0</v>
      </c>
      <c r="AF66" s="1">
        <v>1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1</v>
      </c>
      <c r="AP66" s="1">
        <v>0</v>
      </c>
      <c r="AQ66" s="1">
        <v>0</v>
      </c>
      <c r="AR66" s="1">
        <v>0</v>
      </c>
      <c r="AS66" s="1">
        <v>0</v>
      </c>
      <c r="AT66" s="1">
        <v>1</v>
      </c>
      <c r="AU66" s="1">
        <v>0</v>
      </c>
      <c r="AV66" s="1">
        <v>1</v>
      </c>
      <c r="AW66" s="1">
        <f t="shared" ref="AW66:AW71" si="2">SUM(D66:AV66)</f>
        <v>13</v>
      </c>
      <c r="AX66" s="1" t="s">
        <v>55</v>
      </c>
      <c r="AY66" s="1">
        <v>2017</v>
      </c>
      <c r="AZ66" s="1" t="s">
        <v>111</v>
      </c>
    </row>
    <row r="67" spans="1:52" s="1" customFormat="1" ht="18" customHeight="1" x14ac:dyDescent="0.3">
      <c r="A67" s="1" t="s">
        <v>205</v>
      </c>
      <c r="B67" s="1" t="s">
        <v>58</v>
      </c>
      <c r="C67" s="1" t="s">
        <v>54</v>
      </c>
      <c r="D67" s="1">
        <v>0</v>
      </c>
      <c r="E67" s="1">
        <v>1</v>
      </c>
      <c r="F67" s="1">
        <v>0</v>
      </c>
      <c r="G67" s="1">
        <v>0</v>
      </c>
      <c r="H67" s="1">
        <v>0</v>
      </c>
      <c r="I67" s="1">
        <v>1</v>
      </c>
      <c r="J67" s="1">
        <v>1</v>
      </c>
      <c r="K67" s="1">
        <v>0</v>
      </c>
      <c r="L67" s="1">
        <v>1</v>
      </c>
      <c r="M67" s="1">
        <v>0</v>
      </c>
      <c r="N67" s="1">
        <v>0</v>
      </c>
      <c r="O67" s="1">
        <v>0</v>
      </c>
      <c r="P67" s="1">
        <v>1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f t="shared" si="2"/>
        <v>5</v>
      </c>
      <c r="AX67" s="1" t="s">
        <v>135</v>
      </c>
      <c r="AY67" s="1">
        <v>2022</v>
      </c>
      <c r="AZ67" s="1" t="s">
        <v>206</v>
      </c>
    </row>
    <row r="68" spans="1:52" s="1" customFormat="1" ht="18" customHeight="1" x14ac:dyDescent="0.3">
      <c r="A68" s="6" t="s">
        <v>207</v>
      </c>
      <c r="B68" s="1" t="s">
        <v>53</v>
      </c>
      <c r="C68" s="1" t="s">
        <v>54</v>
      </c>
      <c r="D68" s="1">
        <v>1</v>
      </c>
      <c r="E68" s="1">
        <v>1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1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1</v>
      </c>
      <c r="Z68" s="1">
        <v>1</v>
      </c>
      <c r="AA68" s="1">
        <v>1</v>
      </c>
      <c r="AB68" s="1">
        <v>1</v>
      </c>
      <c r="AC68" s="1">
        <v>0</v>
      </c>
      <c r="AD68" s="1">
        <v>0</v>
      </c>
      <c r="AE68" s="1">
        <v>0</v>
      </c>
      <c r="AF68" s="1">
        <v>1</v>
      </c>
      <c r="AG68" s="1">
        <v>0</v>
      </c>
      <c r="AH68" s="1">
        <v>1</v>
      </c>
      <c r="AI68" s="1">
        <v>0</v>
      </c>
      <c r="AJ68" s="1">
        <v>0</v>
      </c>
      <c r="AK68" s="1">
        <v>0</v>
      </c>
      <c r="AL68" s="1">
        <v>0</v>
      </c>
      <c r="AM68" s="1">
        <v>1</v>
      </c>
      <c r="AN68" s="1">
        <v>0</v>
      </c>
      <c r="AO68" s="1">
        <v>1</v>
      </c>
      <c r="AP68" s="1">
        <v>0</v>
      </c>
      <c r="AQ68" s="1">
        <v>1</v>
      </c>
      <c r="AR68" s="1">
        <v>1</v>
      </c>
      <c r="AS68" s="1">
        <v>0</v>
      </c>
      <c r="AT68" s="1">
        <v>1</v>
      </c>
      <c r="AU68" s="1">
        <v>0</v>
      </c>
      <c r="AV68" s="1">
        <v>1</v>
      </c>
      <c r="AW68" s="1">
        <f t="shared" si="2"/>
        <v>15</v>
      </c>
      <c r="AX68" s="1" t="s">
        <v>55</v>
      </c>
      <c r="AY68" s="1" t="s">
        <v>208</v>
      </c>
      <c r="AZ68" s="1" t="s">
        <v>209</v>
      </c>
    </row>
    <row r="69" spans="1:52" s="1" customFormat="1" ht="18" customHeight="1" x14ac:dyDescent="0.3">
      <c r="A69" s="1" t="s">
        <v>210</v>
      </c>
      <c r="B69" s="1" t="s">
        <v>58</v>
      </c>
      <c r="C69" s="1" t="s">
        <v>54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1">
        <v>1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1">
        <f t="shared" si="2"/>
        <v>1</v>
      </c>
      <c r="AX69" s="1" t="s">
        <v>211</v>
      </c>
      <c r="AY69" s="1">
        <v>2018</v>
      </c>
      <c r="AZ69" s="1" t="s">
        <v>212</v>
      </c>
    </row>
    <row r="70" spans="1:52" s="1" customFormat="1" ht="18" customHeight="1" x14ac:dyDescent="0.3">
      <c r="A70" s="1" t="s">
        <v>213</v>
      </c>
      <c r="B70" s="1" t="s">
        <v>132</v>
      </c>
      <c r="C70" s="1" t="s">
        <v>54</v>
      </c>
      <c r="D70" s="1">
        <v>1</v>
      </c>
      <c r="E70" s="1">
        <v>1</v>
      </c>
      <c r="F70" s="1">
        <v>0</v>
      </c>
      <c r="G70" s="1">
        <v>0</v>
      </c>
      <c r="H70" s="1">
        <v>0</v>
      </c>
      <c r="I70" s="1">
        <v>1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1</v>
      </c>
      <c r="Z70" s="1">
        <v>1</v>
      </c>
      <c r="AA70" s="1">
        <v>1</v>
      </c>
      <c r="AB70" s="1">
        <v>1</v>
      </c>
      <c r="AC70" s="1">
        <v>0</v>
      </c>
      <c r="AD70" s="1">
        <v>0</v>
      </c>
      <c r="AE70" s="1">
        <v>0</v>
      </c>
      <c r="AF70" s="1">
        <v>1</v>
      </c>
      <c r="AG70" s="1">
        <v>1</v>
      </c>
      <c r="AH70" s="1">
        <v>1</v>
      </c>
      <c r="AI70" s="1">
        <v>1</v>
      </c>
      <c r="AJ70" s="1">
        <v>0</v>
      </c>
      <c r="AK70" s="1">
        <v>1</v>
      </c>
      <c r="AL70" s="1">
        <v>0</v>
      </c>
      <c r="AM70" s="1">
        <v>0</v>
      </c>
      <c r="AN70" s="1">
        <v>1</v>
      </c>
      <c r="AO70" s="1">
        <v>0</v>
      </c>
      <c r="AP70" s="1">
        <v>0</v>
      </c>
      <c r="AQ70" s="1">
        <v>0</v>
      </c>
      <c r="AR70" s="1">
        <v>1</v>
      </c>
      <c r="AS70" s="1">
        <v>0</v>
      </c>
      <c r="AT70" s="1">
        <v>1</v>
      </c>
      <c r="AU70" s="1">
        <v>1</v>
      </c>
      <c r="AV70" s="1">
        <v>0</v>
      </c>
      <c r="AW70" s="1">
        <f t="shared" si="2"/>
        <v>16</v>
      </c>
      <c r="AX70" s="1" t="s">
        <v>55</v>
      </c>
      <c r="AY70" s="1">
        <v>2024</v>
      </c>
      <c r="AZ70" s="1" t="s">
        <v>214</v>
      </c>
    </row>
    <row r="71" spans="1:52" s="1" customFormat="1" ht="18" customHeight="1" x14ac:dyDescent="0.3">
      <c r="A71" s="1" t="s">
        <v>215</v>
      </c>
      <c r="B71" s="1" t="s">
        <v>216</v>
      </c>
      <c r="C71" s="1" t="s">
        <v>54</v>
      </c>
      <c r="D71" s="1">
        <v>0</v>
      </c>
      <c r="E71" s="1">
        <v>1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1</v>
      </c>
      <c r="Y71" s="1">
        <v>0</v>
      </c>
      <c r="Z71" s="1">
        <v>0</v>
      </c>
      <c r="AA71" s="1">
        <v>1</v>
      </c>
      <c r="AB71" s="1">
        <v>1</v>
      </c>
      <c r="AC71" s="1">
        <v>0</v>
      </c>
      <c r="AD71" s="5">
        <v>0</v>
      </c>
      <c r="AE71" s="5">
        <v>0</v>
      </c>
      <c r="AF71" s="5">
        <v>0</v>
      </c>
      <c r="AG71" s="5">
        <v>0</v>
      </c>
      <c r="AH71" s="1">
        <v>1</v>
      </c>
      <c r="AI71" s="5">
        <v>0</v>
      </c>
      <c r="AJ71" s="5">
        <v>0</v>
      </c>
      <c r="AK71" s="1">
        <v>1</v>
      </c>
      <c r="AL71" s="5">
        <v>0</v>
      </c>
      <c r="AM71" s="5">
        <v>0</v>
      </c>
      <c r="AN71" s="5">
        <v>0</v>
      </c>
      <c r="AO71" s="5">
        <v>0</v>
      </c>
      <c r="AP71" s="1">
        <v>1</v>
      </c>
      <c r="AQ71" s="5">
        <v>0</v>
      </c>
      <c r="AR71" s="5">
        <v>0</v>
      </c>
      <c r="AS71" s="1">
        <v>1</v>
      </c>
      <c r="AT71" s="5">
        <v>0</v>
      </c>
      <c r="AU71" s="5">
        <v>0</v>
      </c>
      <c r="AV71" s="1">
        <v>1</v>
      </c>
      <c r="AW71" s="1">
        <f t="shared" si="2"/>
        <v>9</v>
      </c>
      <c r="AX71" s="1" t="s">
        <v>217</v>
      </c>
      <c r="AY71" s="1">
        <v>2019</v>
      </c>
      <c r="AZ71" s="1" t="s">
        <v>218</v>
      </c>
    </row>
    <row r="72" spans="1:52" s="1" customFormat="1" ht="18" customHeight="1" x14ac:dyDescent="0.3">
      <c r="A72" s="1" t="s">
        <v>219</v>
      </c>
      <c r="B72" s="1" t="s">
        <v>220</v>
      </c>
      <c r="C72" s="1" t="s">
        <v>221</v>
      </c>
      <c r="D72" s="1">
        <v>1</v>
      </c>
      <c r="E72" s="1">
        <v>1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1">
        <v>1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1">
        <v>1</v>
      </c>
      <c r="Y72" s="4">
        <v>0</v>
      </c>
      <c r="Z72" s="1">
        <v>1</v>
      </c>
      <c r="AA72" s="1">
        <v>1</v>
      </c>
      <c r="AB72" s="1">
        <v>1</v>
      </c>
      <c r="AC72" s="4">
        <v>0</v>
      </c>
      <c r="AD72" s="4">
        <v>0</v>
      </c>
      <c r="AE72" s="1">
        <v>1</v>
      </c>
      <c r="AF72" s="1">
        <v>1</v>
      </c>
      <c r="AG72" s="1">
        <v>1</v>
      </c>
      <c r="AH72" s="1">
        <v>1</v>
      </c>
      <c r="AI72" s="1">
        <v>1</v>
      </c>
      <c r="AJ72" s="1">
        <v>1</v>
      </c>
      <c r="AK72" s="1">
        <v>1</v>
      </c>
      <c r="AL72" s="4">
        <v>0</v>
      </c>
      <c r="AM72" s="1">
        <v>1</v>
      </c>
      <c r="AN72" s="1">
        <v>1</v>
      </c>
      <c r="AO72" s="4">
        <v>0</v>
      </c>
      <c r="AP72" s="1">
        <v>1</v>
      </c>
      <c r="AQ72" s="1">
        <v>1</v>
      </c>
      <c r="AR72" s="1">
        <v>1</v>
      </c>
      <c r="AS72" s="1">
        <v>1</v>
      </c>
      <c r="AT72" s="1">
        <v>1</v>
      </c>
      <c r="AU72" s="4">
        <v>0</v>
      </c>
      <c r="AV72" s="4">
        <v>0</v>
      </c>
      <c r="AW72" s="1">
        <f t="shared" ref="AW72" si="3">SUM(D72:AV72)</f>
        <v>21</v>
      </c>
      <c r="AX72" s="1" t="s">
        <v>59</v>
      </c>
      <c r="AY72" s="1">
        <v>2020</v>
      </c>
      <c r="AZ72" s="1" t="s">
        <v>222</v>
      </c>
    </row>
    <row r="73" spans="1:52" s="1" customFormat="1" ht="18" customHeight="1" x14ac:dyDescent="0.3">
      <c r="A73" s="1" t="s">
        <v>223</v>
      </c>
      <c r="B73" s="1" t="s">
        <v>98</v>
      </c>
      <c r="C73" s="1" t="s">
        <v>221</v>
      </c>
      <c r="D73" s="4">
        <v>0</v>
      </c>
      <c r="E73" s="1">
        <v>1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1">
        <v>1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1">
        <v>1</v>
      </c>
      <c r="Y73" s="4">
        <v>0</v>
      </c>
      <c r="Z73" s="4">
        <v>0</v>
      </c>
      <c r="AA73" s="4">
        <v>0</v>
      </c>
      <c r="AB73" s="1">
        <v>1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1">
        <v>1</v>
      </c>
      <c r="AO73" s="4">
        <v>0</v>
      </c>
      <c r="AP73" s="4">
        <v>0</v>
      </c>
      <c r="AQ73" s="4">
        <v>0</v>
      </c>
      <c r="AR73" s="1">
        <v>1</v>
      </c>
      <c r="AS73" s="1">
        <v>1</v>
      </c>
      <c r="AT73" s="4">
        <v>0</v>
      </c>
      <c r="AU73" s="4">
        <v>0</v>
      </c>
      <c r="AV73" s="4">
        <v>0</v>
      </c>
      <c r="AW73" s="1">
        <f t="shared" ref="AW73:AW104" si="4">SUM(D73:AV73)</f>
        <v>7</v>
      </c>
      <c r="AX73" s="1" t="s">
        <v>224</v>
      </c>
      <c r="AY73" s="1">
        <v>2016</v>
      </c>
      <c r="AZ73" s="1" t="s">
        <v>225</v>
      </c>
    </row>
    <row r="74" spans="1:52" s="1" customFormat="1" ht="18" customHeight="1" x14ac:dyDescent="0.3">
      <c r="A74" s="1" t="s">
        <v>226</v>
      </c>
      <c r="B74" s="1" t="s">
        <v>58</v>
      </c>
      <c r="C74" s="1" t="s">
        <v>221</v>
      </c>
      <c r="D74" s="1">
        <v>1</v>
      </c>
      <c r="E74" s="1">
        <v>1</v>
      </c>
      <c r="F74" s="4">
        <v>0</v>
      </c>
      <c r="G74" s="4">
        <v>0</v>
      </c>
      <c r="H74" s="4">
        <v>0</v>
      </c>
      <c r="I74" s="1">
        <v>1</v>
      </c>
      <c r="J74" s="1">
        <v>1</v>
      </c>
      <c r="K74" s="1">
        <v>1</v>
      </c>
      <c r="L74" s="1">
        <v>1</v>
      </c>
      <c r="M74" s="1">
        <v>1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1">
        <v>1</v>
      </c>
      <c r="T74" s="1">
        <v>1</v>
      </c>
      <c r="U74" s="4">
        <v>0</v>
      </c>
      <c r="V74" s="1">
        <v>1</v>
      </c>
      <c r="W74" s="1">
        <v>1</v>
      </c>
      <c r="X74" s="4">
        <v>0</v>
      </c>
      <c r="Y74" s="1">
        <v>1</v>
      </c>
      <c r="Z74" s="4">
        <v>0</v>
      </c>
      <c r="AA74" s="1">
        <v>1</v>
      </c>
      <c r="AB74" s="1">
        <v>1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1">
        <v>1</v>
      </c>
      <c r="AL74" s="4">
        <v>0</v>
      </c>
      <c r="AM74" s="4">
        <v>0</v>
      </c>
      <c r="AN74" s="4">
        <v>0</v>
      </c>
      <c r="AO74" s="4">
        <v>0</v>
      </c>
      <c r="AP74" s="1">
        <v>1</v>
      </c>
      <c r="AQ74" s="4">
        <v>0</v>
      </c>
      <c r="AR74" s="4">
        <v>0</v>
      </c>
      <c r="AS74" s="1">
        <v>1</v>
      </c>
      <c r="AT74" s="4">
        <v>0</v>
      </c>
      <c r="AU74" s="4">
        <v>0</v>
      </c>
      <c r="AV74" s="4">
        <v>0</v>
      </c>
      <c r="AW74" s="1">
        <f t="shared" si="4"/>
        <v>17</v>
      </c>
      <c r="AX74" s="1" t="s">
        <v>227</v>
      </c>
      <c r="AY74" s="1">
        <v>2016</v>
      </c>
      <c r="AZ74" s="1" t="s">
        <v>228</v>
      </c>
    </row>
    <row r="75" spans="1:52" s="1" customFormat="1" ht="18" customHeight="1" x14ac:dyDescent="0.3">
      <c r="A75" s="1" t="s">
        <v>229</v>
      </c>
      <c r="B75" s="1" t="s">
        <v>58</v>
      </c>
      <c r="C75" s="1" t="s">
        <v>221</v>
      </c>
      <c r="D75" s="1">
        <v>1</v>
      </c>
      <c r="E75" s="4">
        <v>0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  <c r="M75" s="1">
        <v>1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1">
        <v>1</v>
      </c>
      <c r="T75" s="4">
        <v>0</v>
      </c>
      <c r="U75" s="4">
        <v>0</v>
      </c>
      <c r="V75" s="1">
        <v>1</v>
      </c>
      <c r="W75" s="4">
        <v>0</v>
      </c>
      <c r="X75" s="4">
        <v>0</v>
      </c>
      <c r="Y75" s="4">
        <v>0</v>
      </c>
      <c r="Z75" s="1">
        <v>1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1">
        <f t="shared" si="4"/>
        <v>12</v>
      </c>
      <c r="AX75" s="1" t="s">
        <v>230</v>
      </c>
      <c r="AY75" s="1">
        <v>2015</v>
      </c>
      <c r="AZ75" s="1" t="s">
        <v>231</v>
      </c>
    </row>
    <row r="76" spans="1:52" s="1" customFormat="1" ht="18" customHeight="1" x14ac:dyDescent="0.3">
      <c r="A76" s="1" t="s">
        <v>232</v>
      </c>
      <c r="B76" s="1" t="s">
        <v>220</v>
      </c>
      <c r="C76" s="1" t="s">
        <v>221</v>
      </c>
      <c r="D76" s="1">
        <v>1</v>
      </c>
      <c r="E76" s="1">
        <v>1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1">
        <v>1</v>
      </c>
      <c r="U76" s="4">
        <v>0</v>
      </c>
      <c r="V76" s="4">
        <v>0</v>
      </c>
      <c r="W76" s="4">
        <v>0</v>
      </c>
      <c r="X76" s="4">
        <v>0</v>
      </c>
      <c r="Y76" s="1">
        <v>1</v>
      </c>
      <c r="Z76" s="1">
        <v>1</v>
      </c>
      <c r="AA76" s="1">
        <v>1</v>
      </c>
      <c r="AB76" s="1">
        <v>1</v>
      </c>
      <c r="AC76" s="4">
        <v>0</v>
      </c>
      <c r="AD76" s="4">
        <v>0</v>
      </c>
      <c r="AE76" s="1">
        <v>1</v>
      </c>
      <c r="AF76" s="1">
        <v>1</v>
      </c>
      <c r="AG76" s="4">
        <v>0</v>
      </c>
      <c r="AH76" s="1">
        <v>1</v>
      </c>
      <c r="AI76" s="1">
        <v>0</v>
      </c>
      <c r="AJ76" s="1">
        <v>1</v>
      </c>
      <c r="AK76" s="1">
        <v>1</v>
      </c>
      <c r="AL76" s="1">
        <v>1</v>
      </c>
      <c r="AM76" s="4">
        <v>0</v>
      </c>
      <c r="AN76" s="1">
        <v>1</v>
      </c>
      <c r="AO76" s="1">
        <v>1</v>
      </c>
      <c r="AP76" s="4">
        <v>0</v>
      </c>
      <c r="AQ76" s="4">
        <v>0</v>
      </c>
      <c r="AR76" s="1">
        <v>1</v>
      </c>
      <c r="AS76" s="4">
        <v>0</v>
      </c>
      <c r="AT76" s="4">
        <v>0</v>
      </c>
      <c r="AU76" s="4">
        <v>0</v>
      </c>
      <c r="AV76" s="4">
        <v>0</v>
      </c>
      <c r="AW76" s="1">
        <f t="shared" si="4"/>
        <v>16</v>
      </c>
      <c r="AX76" s="1" t="s">
        <v>233</v>
      </c>
      <c r="AY76" s="1">
        <v>2025</v>
      </c>
      <c r="AZ76" s="1" t="s">
        <v>234</v>
      </c>
    </row>
    <row r="77" spans="1:52" s="1" customFormat="1" ht="18" customHeight="1" x14ac:dyDescent="0.3">
      <c r="A77" s="1" t="s">
        <v>235</v>
      </c>
      <c r="B77" s="1" t="s">
        <v>58</v>
      </c>
      <c r="C77" s="1" t="s">
        <v>221</v>
      </c>
      <c r="D77" s="1">
        <v>1</v>
      </c>
      <c r="E77" s="4">
        <v>0</v>
      </c>
      <c r="F77" s="1">
        <v>1</v>
      </c>
      <c r="G77" s="4">
        <v>0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1</v>
      </c>
      <c r="N77" s="1">
        <v>1</v>
      </c>
      <c r="O77" s="4">
        <v>0</v>
      </c>
      <c r="P77" s="1">
        <v>1</v>
      </c>
      <c r="Q77" s="4">
        <v>0</v>
      </c>
      <c r="R77" s="1">
        <v>1</v>
      </c>
      <c r="S77" s="1">
        <v>1</v>
      </c>
      <c r="T77" s="4">
        <v>0</v>
      </c>
      <c r="U77" s="4">
        <v>0</v>
      </c>
      <c r="V77" s="4">
        <v>0</v>
      </c>
      <c r="W77" s="1">
        <v>1</v>
      </c>
      <c r="X77" s="4">
        <v>0</v>
      </c>
      <c r="Y77" s="1">
        <v>1</v>
      </c>
      <c r="Z77" s="4">
        <v>0</v>
      </c>
      <c r="AA77" s="4">
        <v>0</v>
      </c>
      <c r="AB77" s="1">
        <v>1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1">
        <f t="shared" si="4"/>
        <v>15</v>
      </c>
      <c r="AX77" s="1" t="s">
        <v>79</v>
      </c>
      <c r="AY77" s="1">
        <v>2026</v>
      </c>
      <c r="AZ77" s="1" t="s">
        <v>236</v>
      </c>
    </row>
    <row r="78" spans="1:52" s="1" customFormat="1" ht="18" customHeight="1" x14ac:dyDescent="0.3">
      <c r="A78" s="1" t="s">
        <v>237</v>
      </c>
      <c r="B78" s="1" t="s">
        <v>73</v>
      </c>
      <c r="C78" s="1" t="s">
        <v>221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1">
        <v>1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1">
        <f t="shared" si="4"/>
        <v>1</v>
      </c>
      <c r="AX78" s="1" t="s">
        <v>55</v>
      </c>
      <c r="AY78" s="1">
        <v>2017</v>
      </c>
      <c r="AZ78" s="1" t="s">
        <v>238</v>
      </c>
    </row>
    <row r="79" spans="1:52" s="1" customFormat="1" ht="18" customHeight="1" x14ac:dyDescent="0.3">
      <c r="A79" s="1" t="s">
        <v>239</v>
      </c>
      <c r="B79" s="1" t="s">
        <v>58</v>
      </c>
      <c r="C79" s="1" t="s">
        <v>221</v>
      </c>
      <c r="D79" s="4">
        <v>0</v>
      </c>
      <c r="E79" s="1">
        <v>1</v>
      </c>
      <c r="F79" s="4">
        <v>0</v>
      </c>
      <c r="G79" s="1">
        <v>1</v>
      </c>
      <c r="H79" s="4">
        <v>0</v>
      </c>
      <c r="I79" s="1">
        <v>1</v>
      </c>
      <c r="J79" s="4">
        <v>0</v>
      </c>
      <c r="K79" s="1">
        <v>1</v>
      </c>
      <c r="L79" s="1">
        <v>1</v>
      </c>
      <c r="M79" s="4">
        <v>0</v>
      </c>
      <c r="N79" s="4">
        <v>0</v>
      </c>
      <c r="O79" s="4">
        <v>0</v>
      </c>
      <c r="P79" s="1">
        <v>1</v>
      </c>
      <c r="Q79" s="4">
        <v>0</v>
      </c>
      <c r="R79" s="4">
        <v>0</v>
      </c>
      <c r="S79" s="1">
        <v>1</v>
      </c>
      <c r="T79" s="1">
        <v>1</v>
      </c>
      <c r="U79" s="4">
        <v>0</v>
      </c>
      <c r="V79" s="4">
        <v>0</v>
      </c>
      <c r="W79" s="1">
        <v>1</v>
      </c>
      <c r="X79" s="4">
        <v>0</v>
      </c>
      <c r="Y79" s="4">
        <v>0</v>
      </c>
      <c r="Z79" s="4">
        <v>0</v>
      </c>
      <c r="AA79" s="1">
        <v>1</v>
      </c>
      <c r="AB79" s="1">
        <v>1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1">
        <v>1</v>
      </c>
      <c r="AI79" s="4">
        <v>0</v>
      </c>
      <c r="AJ79" s="1">
        <v>1</v>
      </c>
      <c r="AK79" s="1">
        <v>1</v>
      </c>
      <c r="AL79" s="4">
        <v>0</v>
      </c>
      <c r="AM79" s="4">
        <v>0</v>
      </c>
      <c r="AN79" s="1">
        <v>1</v>
      </c>
      <c r="AO79" s="1">
        <v>1</v>
      </c>
      <c r="AP79" s="4">
        <v>0</v>
      </c>
      <c r="AQ79" s="4">
        <v>0</v>
      </c>
      <c r="AR79" s="1">
        <v>1</v>
      </c>
      <c r="AS79" s="1">
        <v>1</v>
      </c>
      <c r="AT79" s="1">
        <v>1</v>
      </c>
      <c r="AU79" s="4">
        <v>0</v>
      </c>
      <c r="AV79" s="4">
        <v>0</v>
      </c>
      <c r="AW79" s="1">
        <f t="shared" si="4"/>
        <v>19</v>
      </c>
      <c r="AX79" s="1" t="s">
        <v>240</v>
      </c>
      <c r="AY79" s="1">
        <v>2022</v>
      </c>
      <c r="AZ79" s="1" t="s">
        <v>241</v>
      </c>
    </row>
    <row r="80" spans="1:52" s="1" customFormat="1" ht="18" customHeight="1" x14ac:dyDescent="0.3">
      <c r="A80" s="1" t="s">
        <v>134</v>
      </c>
      <c r="B80" s="1" t="s">
        <v>58</v>
      </c>
      <c r="C80" s="1" t="s">
        <v>221</v>
      </c>
      <c r="D80" s="1">
        <v>1</v>
      </c>
      <c r="E80" s="1">
        <v>1</v>
      </c>
      <c r="F80" s="4">
        <v>0</v>
      </c>
      <c r="G80" s="4">
        <v>0</v>
      </c>
      <c r="H80" s="4">
        <v>0</v>
      </c>
      <c r="I80" s="1">
        <v>1</v>
      </c>
      <c r="J80" s="4">
        <v>0</v>
      </c>
      <c r="K80" s="1">
        <v>1</v>
      </c>
      <c r="L80" s="1">
        <v>1</v>
      </c>
      <c r="M80" s="4">
        <v>0</v>
      </c>
      <c r="N80" s="4">
        <v>0</v>
      </c>
      <c r="O80" s="4">
        <v>0</v>
      </c>
      <c r="P80" s="1">
        <v>1</v>
      </c>
      <c r="Q80" s="1">
        <v>1</v>
      </c>
      <c r="R80" s="4">
        <v>0</v>
      </c>
      <c r="S80" s="1">
        <v>1</v>
      </c>
      <c r="T80" s="1">
        <v>1</v>
      </c>
      <c r="U80" s="4">
        <v>0</v>
      </c>
      <c r="V80" s="4">
        <v>0</v>
      </c>
      <c r="W80" s="1">
        <v>1</v>
      </c>
      <c r="X80" s="4">
        <v>0</v>
      </c>
      <c r="Y80" s="4">
        <v>0</v>
      </c>
      <c r="Z80" s="4">
        <v>0</v>
      </c>
      <c r="AA80" s="1">
        <v>1</v>
      </c>
      <c r="AB80" s="1">
        <v>1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1">
        <v>1</v>
      </c>
      <c r="AI80" s="4">
        <v>0</v>
      </c>
      <c r="AJ80" s="1">
        <v>1</v>
      </c>
      <c r="AK80" s="1">
        <v>1</v>
      </c>
      <c r="AL80" s="1">
        <v>1</v>
      </c>
      <c r="AM80" s="4">
        <v>0</v>
      </c>
      <c r="AN80" s="1">
        <v>1</v>
      </c>
      <c r="AO80" s="1">
        <v>1</v>
      </c>
      <c r="AP80" s="4">
        <v>0</v>
      </c>
      <c r="AQ80" s="4">
        <v>0</v>
      </c>
      <c r="AR80" s="1">
        <v>1</v>
      </c>
      <c r="AS80" s="1">
        <v>1</v>
      </c>
      <c r="AT80" s="1">
        <v>1</v>
      </c>
      <c r="AU80" s="4">
        <v>0</v>
      </c>
      <c r="AV80" s="4">
        <v>0</v>
      </c>
      <c r="AW80" s="1">
        <f t="shared" si="4"/>
        <v>21</v>
      </c>
      <c r="AX80" s="1" t="s">
        <v>242</v>
      </c>
      <c r="AY80" s="1">
        <v>2022</v>
      </c>
      <c r="AZ80" s="1" t="s">
        <v>241</v>
      </c>
    </row>
    <row r="81" spans="1:52" s="1" customFormat="1" ht="18" customHeight="1" x14ac:dyDescent="0.3">
      <c r="A81" s="1" t="s">
        <v>243</v>
      </c>
      <c r="B81" s="1" t="s">
        <v>53</v>
      </c>
      <c r="C81" s="1" t="s">
        <v>221</v>
      </c>
      <c r="D81" s="1">
        <v>1</v>
      </c>
      <c r="E81" s="1">
        <v>1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1">
        <v>1</v>
      </c>
      <c r="S81" s="1">
        <v>1</v>
      </c>
      <c r="T81" s="1">
        <v>1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1">
        <v>1</v>
      </c>
      <c r="AF81" s="1">
        <v>1</v>
      </c>
      <c r="AG81" s="4">
        <v>0</v>
      </c>
      <c r="AH81" s="4">
        <v>0</v>
      </c>
      <c r="AI81" s="4">
        <v>0</v>
      </c>
      <c r="AJ81" s="4">
        <v>0</v>
      </c>
      <c r="AK81" s="1">
        <v>1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1">
        <f t="shared" si="4"/>
        <v>8</v>
      </c>
      <c r="AX81" s="1" t="s">
        <v>244</v>
      </c>
      <c r="AY81" s="1">
        <v>2020</v>
      </c>
      <c r="AZ81" s="1" t="s">
        <v>245</v>
      </c>
    </row>
    <row r="82" spans="1:52" s="1" customFormat="1" ht="18" customHeight="1" x14ac:dyDescent="0.3">
      <c r="A82" s="1" t="s">
        <v>246</v>
      </c>
      <c r="B82" s="1" t="s">
        <v>132</v>
      </c>
      <c r="C82" s="1" t="s">
        <v>221</v>
      </c>
      <c r="D82" s="1">
        <v>1</v>
      </c>
      <c r="E82" s="1">
        <v>1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1">
        <v>1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1">
        <v>1</v>
      </c>
      <c r="Y82" s="1">
        <v>1</v>
      </c>
      <c r="Z82" s="4">
        <v>0</v>
      </c>
      <c r="AA82" s="1">
        <v>1</v>
      </c>
      <c r="AB82" s="1">
        <v>1</v>
      </c>
      <c r="AC82" s="4">
        <v>0</v>
      </c>
      <c r="AD82" s="1">
        <v>1</v>
      </c>
      <c r="AE82" s="4">
        <v>0</v>
      </c>
      <c r="AF82" s="1">
        <v>1</v>
      </c>
      <c r="AG82" s="4">
        <v>0</v>
      </c>
      <c r="AH82" s="1">
        <v>1</v>
      </c>
      <c r="AI82" s="4">
        <v>0</v>
      </c>
      <c r="AJ82" s="1">
        <v>1</v>
      </c>
      <c r="AK82" s="1">
        <v>1</v>
      </c>
      <c r="AL82" s="1">
        <v>1</v>
      </c>
      <c r="AM82" s="1">
        <v>1</v>
      </c>
      <c r="AN82" s="1">
        <v>1</v>
      </c>
      <c r="AO82" s="4">
        <v>0</v>
      </c>
      <c r="AP82" s="1">
        <v>1</v>
      </c>
      <c r="AQ82" s="4">
        <v>0</v>
      </c>
      <c r="AR82" s="1">
        <v>1</v>
      </c>
      <c r="AS82" s="1">
        <v>1</v>
      </c>
      <c r="AT82" s="1">
        <v>1</v>
      </c>
      <c r="AU82" s="4">
        <v>0</v>
      </c>
      <c r="AV82" s="1">
        <v>1</v>
      </c>
      <c r="AW82" s="1">
        <f t="shared" si="4"/>
        <v>20</v>
      </c>
      <c r="AX82" s="1" t="s">
        <v>79</v>
      </c>
      <c r="AY82" s="1">
        <v>2020</v>
      </c>
      <c r="AZ82" s="1" t="s">
        <v>247</v>
      </c>
    </row>
    <row r="83" spans="1:52" s="1" customFormat="1" ht="18" customHeight="1" x14ac:dyDescent="0.3">
      <c r="A83" s="1" t="s">
        <v>248</v>
      </c>
      <c r="B83" s="1" t="s">
        <v>53</v>
      </c>
      <c r="C83" s="1" t="s">
        <v>221</v>
      </c>
      <c r="D83" s="1">
        <v>1</v>
      </c>
      <c r="E83" s="1">
        <v>1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1">
        <v>1</v>
      </c>
      <c r="U83" s="4">
        <v>0</v>
      </c>
      <c r="V83" s="4">
        <v>0</v>
      </c>
      <c r="W83" s="1">
        <v>1</v>
      </c>
      <c r="X83" s="1">
        <v>1</v>
      </c>
      <c r="Y83" s="4">
        <v>0</v>
      </c>
      <c r="Z83" s="4">
        <v>0</v>
      </c>
      <c r="AA83" s="1">
        <v>1</v>
      </c>
      <c r="AB83" s="4">
        <v>0</v>
      </c>
      <c r="AC83" s="4">
        <v>0</v>
      </c>
      <c r="AD83" s="4">
        <v>0</v>
      </c>
      <c r="AE83" s="1">
        <v>1</v>
      </c>
      <c r="AF83" s="4">
        <v>0</v>
      </c>
      <c r="AG83" s="4">
        <v>0</v>
      </c>
      <c r="AH83" s="1">
        <v>1</v>
      </c>
      <c r="AI83" s="4">
        <v>0</v>
      </c>
      <c r="AJ83" s="1">
        <v>1</v>
      </c>
      <c r="AK83" s="1">
        <v>1</v>
      </c>
      <c r="AL83" s="4">
        <v>0</v>
      </c>
      <c r="AM83" s="4">
        <v>0</v>
      </c>
      <c r="AN83" s="1">
        <v>1</v>
      </c>
      <c r="AO83" s="4">
        <v>0</v>
      </c>
      <c r="AP83" s="4">
        <v>0</v>
      </c>
      <c r="AQ83" s="4">
        <v>0</v>
      </c>
      <c r="AR83" s="1">
        <v>1</v>
      </c>
      <c r="AS83" s="1">
        <v>1</v>
      </c>
      <c r="AT83" s="4">
        <v>0</v>
      </c>
      <c r="AU83" s="4">
        <v>0</v>
      </c>
      <c r="AV83" s="4">
        <v>0</v>
      </c>
      <c r="AW83" s="1">
        <f t="shared" si="4"/>
        <v>13</v>
      </c>
      <c r="AX83" s="1" t="s">
        <v>249</v>
      </c>
      <c r="AY83" s="1">
        <v>2025</v>
      </c>
      <c r="AZ83" s="1" t="s">
        <v>250</v>
      </c>
    </row>
    <row r="84" spans="1:52" s="1" customFormat="1" ht="18" customHeight="1" x14ac:dyDescent="0.3">
      <c r="A84" s="1" t="s">
        <v>251</v>
      </c>
      <c r="B84" s="1" t="s">
        <v>58</v>
      </c>
      <c r="C84" s="1" t="s">
        <v>221</v>
      </c>
      <c r="D84" s="4">
        <v>0</v>
      </c>
      <c r="E84" s="1">
        <v>1</v>
      </c>
      <c r="F84" s="1">
        <v>1</v>
      </c>
      <c r="G84" s="4">
        <v>0</v>
      </c>
      <c r="H84" s="4">
        <v>0</v>
      </c>
      <c r="I84" s="1">
        <v>1</v>
      </c>
      <c r="J84" s="4">
        <v>0</v>
      </c>
      <c r="K84" s="1">
        <v>1</v>
      </c>
      <c r="L84" s="4">
        <v>0</v>
      </c>
      <c r="M84" s="4">
        <v>0</v>
      </c>
      <c r="N84" s="4">
        <v>0</v>
      </c>
      <c r="O84" s="4">
        <v>0</v>
      </c>
      <c r="P84" s="1">
        <v>1</v>
      </c>
      <c r="Q84" s="4">
        <v>0</v>
      </c>
      <c r="R84" s="4">
        <v>0</v>
      </c>
      <c r="S84" s="1">
        <v>1</v>
      </c>
      <c r="T84" s="1">
        <v>1</v>
      </c>
      <c r="U84" s="4">
        <v>0</v>
      </c>
      <c r="V84" s="4">
        <v>0</v>
      </c>
      <c r="W84" s="1">
        <v>1</v>
      </c>
      <c r="X84" s="4">
        <v>0</v>
      </c>
      <c r="Y84" s="4">
        <v>0</v>
      </c>
      <c r="Z84" s="4">
        <v>0</v>
      </c>
      <c r="AA84" s="1">
        <v>1</v>
      </c>
      <c r="AB84" s="1">
        <v>1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1">
        <v>1</v>
      </c>
      <c r="AI84" s="4">
        <v>0</v>
      </c>
      <c r="AJ84" s="1">
        <v>1</v>
      </c>
      <c r="AK84" s="1">
        <v>1</v>
      </c>
      <c r="AL84" s="1">
        <v>1</v>
      </c>
      <c r="AM84" s="4">
        <v>0</v>
      </c>
      <c r="AN84" s="1">
        <v>1</v>
      </c>
      <c r="AO84" s="1">
        <v>1</v>
      </c>
      <c r="AP84" s="4">
        <v>0</v>
      </c>
      <c r="AQ84" s="4">
        <v>0</v>
      </c>
      <c r="AR84" s="4">
        <v>0</v>
      </c>
      <c r="AS84" s="1">
        <v>1</v>
      </c>
      <c r="AT84" s="1">
        <v>1</v>
      </c>
      <c r="AU84" s="4">
        <v>0</v>
      </c>
      <c r="AV84" s="4">
        <v>0</v>
      </c>
      <c r="AW84" s="1">
        <f t="shared" si="4"/>
        <v>18</v>
      </c>
      <c r="AX84" s="1" t="s">
        <v>252</v>
      </c>
      <c r="AY84" s="1">
        <v>2022</v>
      </c>
      <c r="AZ84" s="1" t="s">
        <v>241</v>
      </c>
    </row>
    <row r="85" spans="1:52" s="1" customFormat="1" ht="18" customHeight="1" x14ac:dyDescent="0.3">
      <c r="A85" s="1" t="s">
        <v>253</v>
      </c>
      <c r="B85" s="1" t="s">
        <v>58</v>
      </c>
      <c r="C85" s="1" t="s">
        <v>221</v>
      </c>
      <c r="D85" s="4">
        <v>0</v>
      </c>
      <c r="E85" s="1">
        <v>1</v>
      </c>
      <c r="F85" s="4">
        <v>0</v>
      </c>
      <c r="G85" s="1">
        <v>1</v>
      </c>
      <c r="H85" s="1">
        <v>1</v>
      </c>
      <c r="I85" s="4">
        <v>0</v>
      </c>
      <c r="J85" s="4">
        <v>0</v>
      </c>
      <c r="K85" s="1">
        <v>1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1">
        <v>1</v>
      </c>
      <c r="R85" s="4">
        <v>0</v>
      </c>
      <c r="S85" s="1">
        <v>1</v>
      </c>
      <c r="T85" s="1">
        <v>1</v>
      </c>
      <c r="U85" s="4">
        <v>0</v>
      </c>
      <c r="V85" s="4">
        <v>0</v>
      </c>
      <c r="W85" s="1">
        <v>1</v>
      </c>
      <c r="X85" s="4">
        <v>0</v>
      </c>
      <c r="Y85" s="4">
        <v>0</v>
      </c>
      <c r="Z85" s="4">
        <v>0</v>
      </c>
      <c r="AA85" s="4">
        <v>0</v>
      </c>
      <c r="AB85" s="1">
        <v>1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1">
        <v>1</v>
      </c>
      <c r="AI85" s="1">
        <v>1</v>
      </c>
      <c r="AJ85" s="4">
        <v>0</v>
      </c>
      <c r="AK85" s="1">
        <v>1</v>
      </c>
      <c r="AL85" s="4">
        <v>0</v>
      </c>
      <c r="AM85" s="4">
        <v>0</v>
      </c>
      <c r="AN85" s="1">
        <v>1</v>
      </c>
      <c r="AO85" s="1">
        <v>1</v>
      </c>
      <c r="AP85" s="4">
        <v>0</v>
      </c>
      <c r="AQ85" s="4">
        <v>0</v>
      </c>
      <c r="AR85" s="1">
        <v>1</v>
      </c>
      <c r="AS85" s="1">
        <v>1</v>
      </c>
      <c r="AT85" s="1">
        <v>1</v>
      </c>
      <c r="AU85" s="4">
        <v>0</v>
      </c>
      <c r="AV85" s="4">
        <v>0</v>
      </c>
      <c r="AW85" s="1">
        <f t="shared" si="4"/>
        <v>17</v>
      </c>
      <c r="AX85" s="1" t="s">
        <v>254</v>
      </c>
      <c r="AY85" s="1">
        <v>2022</v>
      </c>
      <c r="AZ85" s="1" t="s">
        <v>241</v>
      </c>
    </row>
    <row r="86" spans="1:52" s="1" customFormat="1" ht="18" customHeight="1" x14ac:dyDescent="0.3">
      <c r="A86" s="1" t="s">
        <v>255</v>
      </c>
      <c r="B86" s="1" t="s">
        <v>220</v>
      </c>
      <c r="C86" s="1" t="s">
        <v>221</v>
      </c>
      <c r="D86" s="1">
        <v>1</v>
      </c>
      <c r="E86" s="1">
        <v>1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1">
        <v>1</v>
      </c>
      <c r="Z86" s="4">
        <v>0</v>
      </c>
      <c r="AA86" s="1">
        <v>1</v>
      </c>
      <c r="AB86" s="1">
        <v>1</v>
      </c>
      <c r="AC86" s="4">
        <v>0</v>
      </c>
      <c r="AD86" s="4">
        <v>0</v>
      </c>
      <c r="AE86" s="1">
        <v>1</v>
      </c>
      <c r="AF86" s="4">
        <v>0</v>
      </c>
      <c r="AG86" s="4">
        <v>0</v>
      </c>
      <c r="AH86" s="1">
        <v>1</v>
      </c>
      <c r="AI86" s="1">
        <v>1</v>
      </c>
      <c r="AJ86" s="1">
        <v>1</v>
      </c>
      <c r="AK86" s="1">
        <v>1</v>
      </c>
      <c r="AL86" s="4">
        <v>0</v>
      </c>
      <c r="AM86" s="4">
        <v>0</v>
      </c>
      <c r="AN86" s="1">
        <v>1</v>
      </c>
      <c r="AO86" s="4">
        <v>0</v>
      </c>
      <c r="AP86" s="4">
        <v>0</v>
      </c>
      <c r="AQ86" s="1">
        <v>1</v>
      </c>
      <c r="AR86" s="1">
        <v>1</v>
      </c>
      <c r="AS86" s="1">
        <v>1</v>
      </c>
      <c r="AT86" s="1">
        <v>1</v>
      </c>
      <c r="AU86" s="4">
        <v>0</v>
      </c>
      <c r="AV86" s="4">
        <v>0</v>
      </c>
      <c r="AW86" s="1">
        <f t="shared" si="4"/>
        <v>15</v>
      </c>
      <c r="AX86" s="1" t="s">
        <v>59</v>
      </c>
      <c r="AY86" s="1">
        <v>2020</v>
      </c>
      <c r="AZ86" s="1" t="s">
        <v>222</v>
      </c>
    </row>
    <row r="87" spans="1:52" s="1" customFormat="1" ht="18" customHeight="1" x14ac:dyDescent="0.3">
      <c r="A87" s="1" t="s">
        <v>256</v>
      </c>
      <c r="B87" s="1" t="s">
        <v>58</v>
      </c>
      <c r="C87" s="1" t="s">
        <v>221</v>
      </c>
      <c r="D87" s="1">
        <v>1</v>
      </c>
      <c r="E87" s="1">
        <v>1</v>
      </c>
      <c r="F87" s="1">
        <v>1</v>
      </c>
      <c r="G87" s="4">
        <v>0</v>
      </c>
      <c r="H87" s="4">
        <v>0</v>
      </c>
      <c r="I87" s="1">
        <v>1</v>
      </c>
      <c r="J87" s="1">
        <v>1</v>
      </c>
      <c r="K87" s="1">
        <v>1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1">
        <v>1</v>
      </c>
      <c r="T87" s="4">
        <v>0</v>
      </c>
      <c r="U87" s="4">
        <v>0</v>
      </c>
      <c r="V87" s="1">
        <v>1</v>
      </c>
      <c r="W87" s="4">
        <v>0</v>
      </c>
      <c r="X87" s="4">
        <v>0</v>
      </c>
      <c r="Y87" s="1">
        <v>1</v>
      </c>
      <c r="Z87" s="4">
        <v>0</v>
      </c>
      <c r="AA87" s="1">
        <v>1</v>
      </c>
      <c r="AB87" s="1">
        <v>1</v>
      </c>
      <c r="AC87" s="4">
        <v>0</v>
      </c>
      <c r="AD87" s="4">
        <v>0</v>
      </c>
      <c r="AE87" s="4">
        <v>0</v>
      </c>
      <c r="AF87" s="4">
        <v>0</v>
      </c>
      <c r="AG87" s="1">
        <v>1</v>
      </c>
      <c r="AH87" s="4">
        <v>0</v>
      </c>
      <c r="AI87" s="4">
        <v>0</v>
      </c>
      <c r="AJ87" s="4">
        <v>0</v>
      </c>
      <c r="AK87" s="1">
        <v>1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1">
        <f t="shared" si="4"/>
        <v>13</v>
      </c>
      <c r="AX87" s="1" t="s">
        <v>227</v>
      </c>
      <c r="AY87" s="1">
        <v>2016</v>
      </c>
      <c r="AZ87" s="1" t="s">
        <v>228</v>
      </c>
    </row>
    <row r="88" spans="1:52" s="1" customFormat="1" ht="18" customHeight="1" x14ac:dyDescent="0.3">
      <c r="A88" s="1" t="s">
        <v>257</v>
      </c>
      <c r="B88" s="1" t="s">
        <v>78</v>
      </c>
      <c r="C88" s="1" t="s">
        <v>221</v>
      </c>
      <c r="D88" s="4">
        <v>0</v>
      </c>
      <c r="E88" s="1">
        <v>1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1">
        <v>1</v>
      </c>
      <c r="AB88" s="1">
        <v>1</v>
      </c>
      <c r="AC88" s="4">
        <v>0</v>
      </c>
      <c r="AD88" s="4">
        <v>0</v>
      </c>
      <c r="AE88" s="1">
        <v>1</v>
      </c>
      <c r="AF88" s="4">
        <v>0</v>
      </c>
      <c r="AG88" s="4">
        <v>0</v>
      </c>
      <c r="AH88" s="1">
        <v>1</v>
      </c>
      <c r="AI88" s="4">
        <v>0</v>
      </c>
      <c r="AJ88" s="1">
        <v>1</v>
      </c>
      <c r="AK88" s="1">
        <v>1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1">
        <f t="shared" si="4"/>
        <v>7</v>
      </c>
      <c r="AX88" s="1" t="s">
        <v>79</v>
      </c>
      <c r="AY88" s="1">
        <v>2022</v>
      </c>
      <c r="AZ88" s="1" t="s">
        <v>258</v>
      </c>
    </row>
    <row r="89" spans="1:52" s="1" customFormat="1" ht="18" customHeight="1" x14ac:dyDescent="0.3">
      <c r="A89" s="1" t="s">
        <v>259</v>
      </c>
      <c r="B89" s="1" t="s">
        <v>78</v>
      </c>
      <c r="C89" s="1" t="s">
        <v>221</v>
      </c>
      <c r="D89" s="4">
        <v>0</v>
      </c>
      <c r="E89" s="1">
        <v>1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1">
        <v>1</v>
      </c>
      <c r="AB89" s="1">
        <v>1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1">
        <v>1</v>
      </c>
      <c r="AI89" s="4">
        <v>0</v>
      </c>
      <c r="AJ89" s="1">
        <v>1</v>
      </c>
      <c r="AK89" s="1">
        <v>1</v>
      </c>
      <c r="AL89" s="4">
        <v>0</v>
      </c>
      <c r="AM89" s="4">
        <v>0</v>
      </c>
      <c r="AN89" s="1">
        <v>1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1">
        <f t="shared" si="4"/>
        <v>7</v>
      </c>
      <c r="AX89" s="1" t="s">
        <v>79</v>
      </c>
      <c r="AY89" s="1">
        <v>2022</v>
      </c>
      <c r="AZ89" s="1" t="s">
        <v>258</v>
      </c>
    </row>
    <row r="90" spans="1:52" s="1" customFormat="1" ht="18" customHeight="1" x14ac:dyDescent="0.3">
      <c r="A90" s="1" t="s">
        <v>260</v>
      </c>
      <c r="B90" s="1" t="s">
        <v>78</v>
      </c>
      <c r="C90" s="1" t="s">
        <v>221</v>
      </c>
      <c r="D90" s="1">
        <v>1</v>
      </c>
      <c r="E90" s="1">
        <v>1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1">
        <v>1</v>
      </c>
      <c r="AB90" s="1">
        <v>1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1">
        <v>1</v>
      </c>
      <c r="AI90" s="1">
        <v>1</v>
      </c>
      <c r="AJ90" s="1">
        <v>1</v>
      </c>
      <c r="AK90" s="1">
        <v>1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1">
        <f t="shared" si="4"/>
        <v>8</v>
      </c>
      <c r="AX90" s="1" t="s">
        <v>79</v>
      </c>
      <c r="AY90" s="1">
        <v>2022</v>
      </c>
      <c r="AZ90" s="1" t="s">
        <v>258</v>
      </c>
    </row>
    <row r="91" spans="1:52" s="1" customFormat="1" ht="18" customHeight="1" x14ac:dyDescent="0.3">
      <c r="A91" s="1" t="s">
        <v>261</v>
      </c>
      <c r="B91" s="1" t="s">
        <v>78</v>
      </c>
      <c r="C91" s="1" t="s">
        <v>221</v>
      </c>
      <c r="D91" s="1">
        <v>1</v>
      </c>
      <c r="E91" s="1">
        <v>1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1">
        <v>1</v>
      </c>
      <c r="AB91" s="1">
        <v>1</v>
      </c>
      <c r="AC91" s="4">
        <v>0</v>
      </c>
      <c r="AD91" s="4">
        <v>0</v>
      </c>
      <c r="AE91" s="1">
        <v>1</v>
      </c>
      <c r="AF91" s="4">
        <v>0</v>
      </c>
      <c r="AG91" s="4">
        <v>0</v>
      </c>
      <c r="AH91" s="1">
        <v>1</v>
      </c>
      <c r="AI91" s="4">
        <v>0</v>
      </c>
      <c r="AJ91" s="1">
        <v>1</v>
      </c>
      <c r="AK91" s="1">
        <v>1</v>
      </c>
      <c r="AL91" s="4">
        <v>0</v>
      </c>
      <c r="AM91" s="4">
        <v>0</v>
      </c>
      <c r="AN91" s="1">
        <v>1</v>
      </c>
      <c r="AO91" s="4">
        <v>0</v>
      </c>
      <c r="AP91" s="4">
        <v>0</v>
      </c>
      <c r="AQ91" s="4">
        <v>0</v>
      </c>
      <c r="AR91" s="1">
        <v>1</v>
      </c>
      <c r="AS91" s="4">
        <v>0</v>
      </c>
      <c r="AT91" s="4">
        <v>0</v>
      </c>
      <c r="AU91" s="4">
        <v>0</v>
      </c>
      <c r="AV91" s="4">
        <v>0</v>
      </c>
      <c r="AW91" s="1">
        <f t="shared" si="4"/>
        <v>10</v>
      </c>
      <c r="AX91" s="1" t="s">
        <v>79</v>
      </c>
      <c r="AY91" s="1">
        <v>2022</v>
      </c>
      <c r="AZ91" s="1" t="s">
        <v>258</v>
      </c>
    </row>
    <row r="92" spans="1:52" s="1" customFormat="1" ht="18" customHeight="1" x14ac:dyDescent="0.3">
      <c r="A92" s="1" t="s">
        <v>262</v>
      </c>
      <c r="B92" s="1" t="s">
        <v>220</v>
      </c>
      <c r="C92" s="1" t="s">
        <v>221</v>
      </c>
      <c r="D92" s="1">
        <v>1</v>
      </c>
      <c r="E92" s="1">
        <v>1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1">
        <v>1</v>
      </c>
      <c r="S92" s="4">
        <v>0</v>
      </c>
      <c r="T92" s="1">
        <v>1</v>
      </c>
      <c r="U92" s="4">
        <v>0</v>
      </c>
      <c r="V92" s="4">
        <v>0</v>
      </c>
      <c r="W92" s="4">
        <v>0</v>
      </c>
      <c r="X92" s="1">
        <v>1</v>
      </c>
      <c r="Y92" s="1">
        <v>1</v>
      </c>
      <c r="Z92" s="1">
        <v>1</v>
      </c>
      <c r="AA92" s="1">
        <v>1</v>
      </c>
      <c r="AB92" s="1">
        <v>1</v>
      </c>
      <c r="AC92" s="4">
        <v>0</v>
      </c>
      <c r="AD92" s="4">
        <v>0</v>
      </c>
      <c r="AE92" s="1">
        <v>1</v>
      </c>
      <c r="AF92" s="1">
        <v>1</v>
      </c>
      <c r="AG92" s="1">
        <v>1</v>
      </c>
      <c r="AH92" s="1">
        <v>1</v>
      </c>
      <c r="AI92" s="1">
        <v>1</v>
      </c>
      <c r="AJ92" s="1">
        <v>1</v>
      </c>
      <c r="AK92" s="1">
        <v>1</v>
      </c>
      <c r="AL92" s="4">
        <v>0</v>
      </c>
      <c r="AM92" s="4">
        <v>0</v>
      </c>
      <c r="AN92" s="1">
        <v>1</v>
      </c>
      <c r="AO92" s="4">
        <v>0</v>
      </c>
      <c r="AP92" s="1">
        <v>1</v>
      </c>
      <c r="AQ92" s="4">
        <v>0</v>
      </c>
      <c r="AR92" s="1">
        <v>1</v>
      </c>
      <c r="AS92" s="1">
        <v>1</v>
      </c>
      <c r="AT92" s="1">
        <v>1</v>
      </c>
      <c r="AU92" s="4">
        <v>0</v>
      </c>
      <c r="AV92" s="4">
        <v>0</v>
      </c>
      <c r="AW92" s="1">
        <f t="shared" si="4"/>
        <v>21</v>
      </c>
      <c r="AX92" s="1" t="s">
        <v>59</v>
      </c>
      <c r="AY92" s="1">
        <v>2020</v>
      </c>
      <c r="AZ92" s="1" t="s">
        <v>222</v>
      </c>
    </row>
    <row r="93" spans="1:52" s="1" customFormat="1" ht="18" customHeight="1" x14ac:dyDescent="0.3">
      <c r="A93" s="1" t="s">
        <v>263</v>
      </c>
      <c r="B93" s="1" t="s">
        <v>220</v>
      </c>
      <c r="C93" s="1" t="s">
        <v>221</v>
      </c>
      <c r="D93" s="1">
        <v>1</v>
      </c>
      <c r="E93" s="1">
        <v>1</v>
      </c>
      <c r="F93" s="4">
        <v>0</v>
      </c>
      <c r="G93" s="4">
        <v>0</v>
      </c>
      <c r="H93" s="4">
        <v>0</v>
      </c>
      <c r="I93" s="1">
        <v>1</v>
      </c>
      <c r="J93" s="1">
        <v>1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1">
        <v>1</v>
      </c>
      <c r="S93" s="4">
        <v>0</v>
      </c>
      <c r="T93" s="1">
        <v>1</v>
      </c>
      <c r="U93" s="4">
        <v>0</v>
      </c>
      <c r="V93" s="4">
        <v>0</v>
      </c>
      <c r="W93" s="4">
        <v>0</v>
      </c>
      <c r="X93" s="1">
        <v>1</v>
      </c>
      <c r="Y93" s="4">
        <v>0</v>
      </c>
      <c r="Z93" s="1">
        <v>1</v>
      </c>
      <c r="AA93" s="1">
        <v>1</v>
      </c>
      <c r="AB93" s="1">
        <v>1</v>
      </c>
      <c r="AC93" s="4">
        <v>0</v>
      </c>
      <c r="AD93" s="4">
        <v>0</v>
      </c>
      <c r="AE93" s="4">
        <v>0</v>
      </c>
      <c r="AF93" s="4">
        <v>0</v>
      </c>
      <c r="AG93" s="1">
        <v>1</v>
      </c>
      <c r="AH93" s="1">
        <v>1</v>
      </c>
      <c r="AI93" s="1">
        <v>1</v>
      </c>
      <c r="AJ93" s="1">
        <v>1</v>
      </c>
      <c r="AK93" s="1">
        <v>1</v>
      </c>
      <c r="AL93" s="1">
        <v>1</v>
      </c>
      <c r="AM93" s="4">
        <v>0</v>
      </c>
      <c r="AN93" s="1">
        <v>1</v>
      </c>
      <c r="AO93" s="4">
        <v>0</v>
      </c>
      <c r="AP93" s="1">
        <v>1</v>
      </c>
      <c r="AQ93" s="1">
        <v>1</v>
      </c>
      <c r="AR93" s="1">
        <v>1</v>
      </c>
      <c r="AS93" s="1">
        <v>1</v>
      </c>
      <c r="AT93" s="1">
        <v>1</v>
      </c>
      <c r="AU93" s="4">
        <v>0</v>
      </c>
      <c r="AV93" s="4">
        <v>0</v>
      </c>
      <c r="AW93" s="1">
        <f t="shared" si="4"/>
        <v>22</v>
      </c>
      <c r="AX93" s="1" t="s">
        <v>59</v>
      </c>
      <c r="AY93" s="1">
        <v>2020</v>
      </c>
      <c r="AZ93" s="1" t="s">
        <v>222</v>
      </c>
    </row>
    <row r="94" spans="1:52" s="1" customFormat="1" ht="18" customHeight="1" x14ac:dyDescent="0.3">
      <c r="A94" s="1" t="s">
        <v>264</v>
      </c>
      <c r="B94" s="1" t="s">
        <v>216</v>
      </c>
      <c r="C94" s="1" t="s">
        <v>221</v>
      </c>
      <c r="D94" s="1">
        <v>1</v>
      </c>
      <c r="E94" s="1">
        <v>1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1">
        <v>1</v>
      </c>
      <c r="Y94" s="4">
        <v>0</v>
      </c>
      <c r="Z94" s="4">
        <v>0</v>
      </c>
      <c r="AA94" s="1">
        <v>1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1">
        <v>1</v>
      </c>
      <c r="AJ94" s="1">
        <v>1</v>
      </c>
      <c r="AK94" s="1">
        <v>1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1">
        <v>1</v>
      </c>
      <c r="AS94" s="4">
        <v>0</v>
      </c>
      <c r="AT94" s="4">
        <v>0</v>
      </c>
      <c r="AU94" s="4">
        <v>0</v>
      </c>
      <c r="AV94" s="4">
        <v>0</v>
      </c>
      <c r="AW94" s="1">
        <f t="shared" si="4"/>
        <v>8</v>
      </c>
      <c r="AX94" s="1" t="s">
        <v>79</v>
      </c>
      <c r="AY94" s="1">
        <v>2018</v>
      </c>
      <c r="AZ94" s="1" t="s">
        <v>265</v>
      </c>
    </row>
    <row r="95" spans="1:52" s="1" customFormat="1" ht="18" customHeight="1" x14ac:dyDescent="0.3">
      <c r="A95" s="1" t="s">
        <v>266</v>
      </c>
      <c r="B95" s="1" t="s">
        <v>216</v>
      </c>
      <c r="C95" s="1" t="s">
        <v>221</v>
      </c>
      <c r="D95" s="1">
        <v>1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1">
        <v>1</v>
      </c>
      <c r="T95" s="1">
        <v>1</v>
      </c>
      <c r="U95" s="4">
        <v>0</v>
      </c>
      <c r="V95" s="4">
        <v>0</v>
      </c>
      <c r="W95" s="4">
        <v>0</v>
      </c>
      <c r="X95" s="4">
        <v>0</v>
      </c>
      <c r="Y95" s="1">
        <v>1</v>
      </c>
      <c r="Z95" s="4">
        <v>0</v>
      </c>
      <c r="AA95" s="1">
        <v>1</v>
      </c>
      <c r="AB95" s="1">
        <v>1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1">
        <v>1</v>
      </c>
      <c r="AI95" s="1">
        <v>1</v>
      </c>
      <c r="AJ95" s="4">
        <v>0</v>
      </c>
      <c r="AK95" s="1">
        <v>1</v>
      </c>
      <c r="AL95" s="4">
        <v>0</v>
      </c>
      <c r="AM95" s="4">
        <v>0</v>
      </c>
      <c r="AN95" s="4">
        <v>0</v>
      </c>
      <c r="AO95" s="4">
        <v>0</v>
      </c>
      <c r="AP95" s="1">
        <v>1</v>
      </c>
      <c r="AQ95" s="1">
        <v>1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1">
        <f t="shared" si="4"/>
        <v>11</v>
      </c>
      <c r="AX95" s="1" t="s">
        <v>79</v>
      </c>
      <c r="AY95" s="1">
        <v>2016</v>
      </c>
      <c r="AZ95" s="1" t="s">
        <v>267</v>
      </c>
    </row>
    <row r="96" spans="1:52" s="1" customFormat="1" ht="18" customHeight="1" x14ac:dyDescent="0.3">
      <c r="A96" s="1" t="s">
        <v>268</v>
      </c>
      <c r="B96" s="1" t="s">
        <v>53</v>
      </c>
      <c r="C96" s="1" t="s">
        <v>221</v>
      </c>
      <c r="D96" s="4">
        <v>0</v>
      </c>
      <c r="E96" s="1">
        <v>1</v>
      </c>
      <c r="F96" s="4">
        <v>0</v>
      </c>
      <c r="G96" s="4">
        <v>0</v>
      </c>
      <c r="H96" s="4">
        <v>0</v>
      </c>
      <c r="I96" s="4">
        <v>0</v>
      </c>
      <c r="J96" s="1">
        <v>1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1">
        <v>1</v>
      </c>
      <c r="Z96" s="1">
        <v>1</v>
      </c>
      <c r="AA96" s="1">
        <v>1</v>
      </c>
      <c r="AB96" s="1">
        <v>1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1">
        <v>1</v>
      </c>
      <c r="AI96" s="4">
        <v>0</v>
      </c>
      <c r="AJ96" s="1">
        <v>1</v>
      </c>
      <c r="AK96" s="1">
        <v>1</v>
      </c>
      <c r="AL96" s="4">
        <v>0</v>
      </c>
      <c r="AM96" s="4">
        <v>0</v>
      </c>
      <c r="AN96" s="4">
        <v>0</v>
      </c>
      <c r="AO96" s="4">
        <v>0</v>
      </c>
      <c r="AP96" s="1">
        <v>1</v>
      </c>
      <c r="AQ96" s="4">
        <v>0</v>
      </c>
      <c r="AR96" s="1">
        <v>1</v>
      </c>
      <c r="AS96" s="1">
        <v>1</v>
      </c>
      <c r="AT96" s="1">
        <v>1</v>
      </c>
      <c r="AU96" s="4">
        <v>0</v>
      </c>
      <c r="AV96" s="4">
        <v>0</v>
      </c>
      <c r="AW96" s="1">
        <f t="shared" si="4"/>
        <v>13</v>
      </c>
      <c r="AX96" s="1" t="s">
        <v>217</v>
      </c>
      <c r="AY96" s="1">
        <v>2025</v>
      </c>
      <c r="AZ96" s="1" t="s">
        <v>250</v>
      </c>
    </row>
    <row r="97" spans="1:52" s="1" customFormat="1" ht="18" customHeight="1" x14ac:dyDescent="0.3">
      <c r="A97" s="1" t="s">
        <v>269</v>
      </c>
      <c r="B97" s="1" t="s">
        <v>58</v>
      </c>
      <c r="C97" s="1" t="s">
        <v>221</v>
      </c>
      <c r="D97" s="1">
        <v>1</v>
      </c>
      <c r="E97" s="1">
        <v>1</v>
      </c>
      <c r="F97" s="1">
        <v>1</v>
      </c>
      <c r="G97" s="4">
        <v>0</v>
      </c>
      <c r="H97" s="4">
        <v>0</v>
      </c>
      <c r="I97" s="1">
        <v>1</v>
      </c>
      <c r="J97" s="1">
        <v>1</v>
      </c>
      <c r="K97" s="1">
        <v>1</v>
      </c>
      <c r="L97" s="1">
        <v>1</v>
      </c>
      <c r="M97" s="1">
        <v>1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1">
        <v>1</v>
      </c>
      <c r="T97" s="1">
        <v>1</v>
      </c>
      <c r="U97" s="4">
        <v>0</v>
      </c>
      <c r="V97" s="1">
        <v>1</v>
      </c>
      <c r="W97" s="1">
        <v>1</v>
      </c>
      <c r="X97" s="1">
        <v>1</v>
      </c>
      <c r="Y97" s="1">
        <v>1</v>
      </c>
      <c r="Z97" s="1">
        <v>1</v>
      </c>
      <c r="AA97" s="1">
        <v>1</v>
      </c>
      <c r="AB97" s="1">
        <v>1</v>
      </c>
      <c r="AC97" s="1">
        <v>1</v>
      </c>
      <c r="AD97" s="4">
        <v>0</v>
      </c>
      <c r="AE97" s="4">
        <v>0</v>
      </c>
      <c r="AF97" s="4">
        <v>0</v>
      </c>
      <c r="AG97" s="1">
        <v>1</v>
      </c>
      <c r="AH97" s="1">
        <v>1</v>
      </c>
      <c r="AI97" s="1">
        <v>1</v>
      </c>
      <c r="AJ97" s="1">
        <v>1</v>
      </c>
      <c r="AK97" s="1">
        <v>1</v>
      </c>
      <c r="AL97" s="1">
        <v>1</v>
      </c>
      <c r="AM97" s="4">
        <v>0</v>
      </c>
      <c r="AN97" s="1">
        <v>1</v>
      </c>
      <c r="AO97" s="1">
        <v>1</v>
      </c>
      <c r="AP97" s="1">
        <v>1</v>
      </c>
      <c r="AQ97" s="4">
        <v>0</v>
      </c>
      <c r="AR97" s="1">
        <v>1</v>
      </c>
      <c r="AS97" s="1">
        <v>1</v>
      </c>
      <c r="AT97" s="1">
        <v>1</v>
      </c>
      <c r="AU97" s="4">
        <v>0</v>
      </c>
      <c r="AV97" s="4">
        <v>0</v>
      </c>
      <c r="AW97" s="1">
        <f t="shared" si="4"/>
        <v>30</v>
      </c>
      <c r="AX97" s="1" t="s">
        <v>270</v>
      </c>
      <c r="AY97" s="1" t="s">
        <v>271</v>
      </c>
      <c r="AZ97" s="1" t="s">
        <v>272</v>
      </c>
    </row>
    <row r="98" spans="1:52" s="1" customFormat="1" ht="18" customHeight="1" x14ac:dyDescent="0.3">
      <c r="A98" s="1" t="s">
        <v>194</v>
      </c>
      <c r="B98" s="1" t="s">
        <v>58</v>
      </c>
      <c r="C98" s="1" t="s">
        <v>221</v>
      </c>
      <c r="D98" s="1">
        <v>1</v>
      </c>
      <c r="E98" s="1">
        <v>1</v>
      </c>
      <c r="F98" s="1">
        <v>1</v>
      </c>
      <c r="G98" s="1">
        <v>1</v>
      </c>
      <c r="H98" s="1">
        <v>1</v>
      </c>
      <c r="I98" s="1">
        <v>1</v>
      </c>
      <c r="J98" s="4">
        <v>0</v>
      </c>
      <c r="K98" s="1">
        <v>1</v>
      </c>
      <c r="L98" s="1">
        <v>1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1">
        <v>1</v>
      </c>
      <c r="U98" s="4">
        <v>0</v>
      </c>
      <c r="V98" s="4">
        <v>0</v>
      </c>
      <c r="W98" s="1">
        <v>1</v>
      </c>
      <c r="X98" s="4">
        <v>0</v>
      </c>
      <c r="Y98" s="1">
        <v>1</v>
      </c>
      <c r="Z98" s="4">
        <v>0</v>
      </c>
      <c r="AA98" s="1">
        <v>1</v>
      </c>
      <c r="AB98" s="1">
        <v>1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1">
        <v>1</v>
      </c>
      <c r="AI98" s="4">
        <v>0</v>
      </c>
      <c r="AJ98" s="4">
        <v>0</v>
      </c>
      <c r="AK98" s="1">
        <v>1</v>
      </c>
      <c r="AL98" s="1">
        <v>1</v>
      </c>
      <c r="AM98" s="4">
        <v>0</v>
      </c>
      <c r="AN98" s="1">
        <v>1</v>
      </c>
      <c r="AO98" s="1">
        <v>1</v>
      </c>
      <c r="AP98" s="4">
        <v>0</v>
      </c>
      <c r="AQ98" s="4">
        <v>0</v>
      </c>
      <c r="AR98" s="1">
        <v>1</v>
      </c>
      <c r="AS98" s="1">
        <v>1</v>
      </c>
      <c r="AT98" s="1">
        <v>1</v>
      </c>
      <c r="AU98" s="4">
        <v>0</v>
      </c>
      <c r="AV98" s="4">
        <v>0</v>
      </c>
      <c r="AW98" s="1">
        <f t="shared" si="4"/>
        <v>21</v>
      </c>
      <c r="AX98" s="1" t="s">
        <v>59</v>
      </c>
      <c r="AY98" s="1">
        <v>2022</v>
      </c>
      <c r="AZ98" s="1" t="s">
        <v>241</v>
      </c>
    </row>
    <row r="99" spans="1:52" s="1" customFormat="1" ht="18" customHeight="1" x14ac:dyDescent="0.3">
      <c r="A99" s="1" t="s">
        <v>273</v>
      </c>
      <c r="B99" s="1" t="s">
        <v>78</v>
      </c>
      <c r="C99" s="1" t="s">
        <v>221</v>
      </c>
      <c r="D99" s="4">
        <v>0</v>
      </c>
      <c r="E99" s="1">
        <v>1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1">
        <v>1</v>
      </c>
      <c r="AI99" s="4">
        <v>0</v>
      </c>
      <c r="AJ99" s="1">
        <v>1</v>
      </c>
      <c r="AK99" s="1">
        <v>1</v>
      </c>
      <c r="AL99" s="4">
        <v>0</v>
      </c>
      <c r="AM99" s="4">
        <v>0</v>
      </c>
      <c r="AN99" s="1">
        <v>1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1">
        <f t="shared" si="4"/>
        <v>5</v>
      </c>
      <c r="AX99" s="1" t="s">
        <v>79</v>
      </c>
      <c r="AY99" s="1">
        <v>2022</v>
      </c>
      <c r="AZ99" s="1" t="s">
        <v>258</v>
      </c>
    </row>
    <row r="100" spans="1:52" s="10" customFormat="1" ht="15.6" x14ac:dyDescent="0.35">
      <c r="A100" s="7" t="s">
        <v>274</v>
      </c>
      <c r="B100" s="7" t="s">
        <v>118</v>
      </c>
      <c r="C100" s="8" t="s">
        <v>221</v>
      </c>
      <c r="D100" s="7">
        <v>1</v>
      </c>
      <c r="E100" s="7">
        <v>1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7">
        <v>1</v>
      </c>
      <c r="T100" s="9">
        <v>0</v>
      </c>
      <c r="U100" s="9">
        <v>0</v>
      </c>
      <c r="V100" s="9">
        <v>0</v>
      </c>
      <c r="W100" s="9">
        <v>0</v>
      </c>
      <c r="X100" s="7">
        <v>1</v>
      </c>
      <c r="Y100" s="7">
        <v>1</v>
      </c>
      <c r="Z100" s="9">
        <v>0</v>
      </c>
      <c r="AA100" s="7">
        <v>1</v>
      </c>
      <c r="AB100" s="7">
        <v>1</v>
      </c>
      <c r="AC100" s="9">
        <v>0</v>
      </c>
      <c r="AD100" s="9">
        <v>0</v>
      </c>
      <c r="AE100" s="7">
        <v>1</v>
      </c>
      <c r="AF100" s="7">
        <v>1</v>
      </c>
      <c r="AG100" s="9">
        <v>0</v>
      </c>
      <c r="AH100" s="7">
        <v>1</v>
      </c>
      <c r="AI100" s="9">
        <v>0</v>
      </c>
      <c r="AJ100" s="7">
        <v>1</v>
      </c>
      <c r="AK100" s="7">
        <v>1</v>
      </c>
      <c r="AL100" s="7">
        <v>0</v>
      </c>
      <c r="AM100" s="9">
        <v>0</v>
      </c>
      <c r="AN100" s="7">
        <v>1</v>
      </c>
      <c r="AO100" s="9">
        <v>0</v>
      </c>
      <c r="AP100" s="7">
        <v>1</v>
      </c>
      <c r="AQ100" s="9">
        <v>0</v>
      </c>
      <c r="AR100" s="7">
        <v>1</v>
      </c>
      <c r="AS100" s="7">
        <v>1</v>
      </c>
      <c r="AT100" s="7">
        <v>1</v>
      </c>
      <c r="AU100" s="9">
        <v>0</v>
      </c>
      <c r="AV100" s="9">
        <v>0</v>
      </c>
      <c r="AW100" s="8">
        <f t="shared" si="4"/>
        <v>17</v>
      </c>
      <c r="AX100" s="7" t="s">
        <v>217</v>
      </c>
      <c r="AY100" s="8">
        <v>2016</v>
      </c>
      <c r="AZ100" s="8" t="s">
        <v>275</v>
      </c>
    </row>
    <row r="101" spans="1:52" s="10" customFormat="1" ht="15.6" x14ac:dyDescent="0.35">
      <c r="A101" s="7" t="s">
        <v>276</v>
      </c>
      <c r="B101" s="7" t="s">
        <v>118</v>
      </c>
      <c r="C101" s="8" t="s">
        <v>221</v>
      </c>
      <c r="D101" s="7">
        <v>1</v>
      </c>
      <c r="E101" s="7">
        <v>1</v>
      </c>
      <c r="F101" s="9">
        <v>0</v>
      </c>
      <c r="G101" s="9">
        <v>0</v>
      </c>
      <c r="H101" s="9">
        <v>0</v>
      </c>
      <c r="I101" s="9">
        <v>0</v>
      </c>
      <c r="J101" s="7">
        <v>1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7">
        <v>1</v>
      </c>
      <c r="S101" s="7">
        <v>1</v>
      </c>
      <c r="T101" s="7">
        <v>1</v>
      </c>
      <c r="U101" s="9">
        <v>0</v>
      </c>
      <c r="V101" s="9">
        <v>0</v>
      </c>
      <c r="W101" s="9">
        <v>0</v>
      </c>
      <c r="X101" s="7">
        <v>1</v>
      </c>
      <c r="Y101" s="7">
        <v>1</v>
      </c>
      <c r="Z101" s="7">
        <v>1</v>
      </c>
      <c r="AA101" s="7">
        <v>1</v>
      </c>
      <c r="AB101" s="7">
        <v>1</v>
      </c>
      <c r="AC101" s="9">
        <v>0</v>
      </c>
      <c r="AD101" s="7">
        <v>1</v>
      </c>
      <c r="AE101" s="7">
        <v>1</v>
      </c>
      <c r="AF101" s="9">
        <v>0</v>
      </c>
      <c r="AG101" s="7">
        <v>1</v>
      </c>
      <c r="AH101" s="7">
        <v>1</v>
      </c>
      <c r="AI101" s="9">
        <v>0</v>
      </c>
      <c r="AJ101" s="7">
        <v>1</v>
      </c>
      <c r="AK101" s="7">
        <v>1</v>
      </c>
      <c r="AL101" s="9">
        <v>0</v>
      </c>
      <c r="AM101" s="7">
        <v>1</v>
      </c>
      <c r="AN101" s="7">
        <v>1</v>
      </c>
      <c r="AO101" s="9">
        <v>0</v>
      </c>
      <c r="AP101" s="7">
        <v>1</v>
      </c>
      <c r="AQ101" s="9">
        <v>0</v>
      </c>
      <c r="AR101" s="7">
        <v>1</v>
      </c>
      <c r="AS101" s="7">
        <v>1</v>
      </c>
      <c r="AT101" s="7">
        <v>1</v>
      </c>
      <c r="AU101" s="9">
        <v>0</v>
      </c>
      <c r="AV101" s="9">
        <v>0</v>
      </c>
      <c r="AW101" s="8">
        <f t="shared" si="4"/>
        <v>23</v>
      </c>
      <c r="AX101" s="7" t="s">
        <v>217</v>
      </c>
      <c r="AY101" s="8">
        <v>2016</v>
      </c>
      <c r="AZ101" s="8" t="s">
        <v>275</v>
      </c>
    </row>
    <row r="102" spans="1:52" s="10" customFormat="1" ht="15.6" x14ac:dyDescent="0.35">
      <c r="A102" s="7" t="s">
        <v>277</v>
      </c>
      <c r="B102" s="7" t="s">
        <v>118</v>
      </c>
      <c r="C102" s="8" t="s">
        <v>221</v>
      </c>
      <c r="D102" s="7">
        <v>1</v>
      </c>
      <c r="E102" s="7">
        <v>1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7">
        <v>1</v>
      </c>
      <c r="Y102" s="9">
        <v>0</v>
      </c>
      <c r="Z102" s="7">
        <v>1</v>
      </c>
      <c r="AA102" s="7">
        <v>1</v>
      </c>
      <c r="AB102" s="7">
        <v>1</v>
      </c>
      <c r="AC102" s="9">
        <v>0</v>
      </c>
      <c r="AD102" s="9">
        <v>0</v>
      </c>
      <c r="AE102" s="7">
        <v>1</v>
      </c>
      <c r="AF102" s="9">
        <v>0</v>
      </c>
      <c r="AG102" s="9">
        <v>0</v>
      </c>
      <c r="AH102" s="7">
        <v>1</v>
      </c>
      <c r="AI102" s="9">
        <v>0</v>
      </c>
      <c r="AJ102" s="7">
        <v>1</v>
      </c>
      <c r="AK102" s="7">
        <v>1</v>
      </c>
      <c r="AL102" s="7">
        <v>1</v>
      </c>
      <c r="AM102" s="7">
        <v>1</v>
      </c>
      <c r="AN102" s="7">
        <v>1</v>
      </c>
      <c r="AO102" s="9">
        <v>0</v>
      </c>
      <c r="AP102" s="7">
        <v>1</v>
      </c>
      <c r="AQ102" s="9">
        <v>0</v>
      </c>
      <c r="AR102" s="7">
        <v>1</v>
      </c>
      <c r="AS102" s="7">
        <v>1</v>
      </c>
      <c r="AT102" s="7">
        <v>1</v>
      </c>
      <c r="AU102" s="9">
        <v>0</v>
      </c>
      <c r="AV102" s="9">
        <v>0</v>
      </c>
      <c r="AW102" s="8">
        <f t="shared" si="4"/>
        <v>17</v>
      </c>
      <c r="AX102" s="7" t="s">
        <v>217</v>
      </c>
      <c r="AY102" s="8">
        <v>2016</v>
      </c>
      <c r="AZ102" s="8" t="s">
        <v>275</v>
      </c>
    </row>
    <row r="103" spans="1:52" s="10" customFormat="1" ht="15.6" x14ac:dyDescent="0.35">
      <c r="A103" s="7" t="s">
        <v>278</v>
      </c>
      <c r="B103" s="7" t="s">
        <v>279</v>
      </c>
      <c r="C103" s="8" t="s">
        <v>221</v>
      </c>
      <c r="D103" s="7">
        <v>1</v>
      </c>
      <c r="E103" s="7">
        <v>1</v>
      </c>
      <c r="F103" s="7">
        <v>1</v>
      </c>
      <c r="G103" s="9">
        <v>0</v>
      </c>
      <c r="H103" s="9">
        <v>0</v>
      </c>
      <c r="I103" s="9">
        <v>0</v>
      </c>
      <c r="J103" s="7">
        <v>1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7">
        <v>1</v>
      </c>
      <c r="T103" s="7">
        <v>1</v>
      </c>
      <c r="U103" s="9">
        <v>0</v>
      </c>
      <c r="V103" s="9">
        <v>0</v>
      </c>
      <c r="W103" s="9">
        <v>0</v>
      </c>
      <c r="X103" s="7">
        <v>1</v>
      </c>
      <c r="Y103" s="9">
        <v>0</v>
      </c>
      <c r="Z103" s="9">
        <v>0</v>
      </c>
      <c r="AA103" s="7">
        <v>1</v>
      </c>
      <c r="AB103" s="7">
        <v>1</v>
      </c>
      <c r="AC103" s="9">
        <v>0</v>
      </c>
      <c r="AD103" s="7">
        <v>1</v>
      </c>
      <c r="AE103" s="7">
        <v>1</v>
      </c>
      <c r="AF103" s="9">
        <v>0</v>
      </c>
      <c r="AG103" s="9">
        <v>0</v>
      </c>
      <c r="AH103" s="7">
        <v>1</v>
      </c>
      <c r="AI103" s="9">
        <v>0</v>
      </c>
      <c r="AJ103" s="7">
        <v>1</v>
      </c>
      <c r="AK103" s="9">
        <v>0</v>
      </c>
      <c r="AL103" s="9">
        <v>0</v>
      </c>
      <c r="AM103" s="9">
        <v>0</v>
      </c>
      <c r="AN103" s="7">
        <v>1</v>
      </c>
      <c r="AO103" s="9">
        <v>0</v>
      </c>
      <c r="AP103" s="7">
        <v>1</v>
      </c>
      <c r="AQ103" s="9">
        <v>0</v>
      </c>
      <c r="AR103" s="7">
        <v>1</v>
      </c>
      <c r="AS103" s="7">
        <v>1</v>
      </c>
      <c r="AT103" s="7">
        <v>1</v>
      </c>
      <c r="AU103" s="9">
        <v>0</v>
      </c>
      <c r="AV103" s="9">
        <v>0</v>
      </c>
      <c r="AW103" s="8">
        <f t="shared" si="4"/>
        <v>18</v>
      </c>
      <c r="AX103" s="8" t="s">
        <v>79</v>
      </c>
      <c r="AY103" s="8">
        <v>2022</v>
      </c>
      <c r="AZ103" s="8" t="s">
        <v>280</v>
      </c>
    </row>
    <row r="104" spans="1:52" s="10" customFormat="1" ht="15.6" x14ac:dyDescent="0.35">
      <c r="A104" s="7" t="s">
        <v>281</v>
      </c>
      <c r="B104" s="7" t="s">
        <v>279</v>
      </c>
      <c r="C104" s="8" t="s">
        <v>221</v>
      </c>
      <c r="D104" s="7">
        <v>1</v>
      </c>
      <c r="E104" s="7">
        <v>1</v>
      </c>
      <c r="F104" s="7">
        <v>1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7">
        <v>1</v>
      </c>
      <c r="R104" s="9">
        <v>0</v>
      </c>
      <c r="S104" s="7">
        <v>1</v>
      </c>
      <c r="T104" s="9">
        <v>0</v>
      </c>
      <c r="U104" s="9">
        <v>0</v>
      </c>
      <c r="V104" s="9">
        <v>0</v>
      </c>
      <c r="W104" s="9">
        <v>0</v>
      </c>
      <c r="X104" s="7">
        <v>1</v>
      </c>
      <c r="Y104" s="7">
        <v>1</v>
      </c>
      <c r="Z104" s="9">
        <v>0</v>
      </c>
      <c r="AA104" s="7">
        <v>1</v>
      </c>
      <c r="AB104" s="7">
        <v>1</v>
      </c>
      <c r="AC104" s="9">
        <v>0</v>
      </c>
      <c r="AD104" s="9">
        <v>0</v>
      </c>
      <c r="AE104" s="7">
        <v>1</v>
      </c>
      <c r="AF104" s="9">
        <v>0</v>
      </c>
      <c r="AG104" s="9">
        <v>0</v>
      </c>
      <c r="AH104" s="7">
        <v>1</v>
      </c>
      <c r="AI104" s="9">
        <v>0</v>
      </c>
      <c r="AJ104" s="7">
        <v>1</v>
      </c>
      <c r="AK104" s="7">
        <v>1</v>
      </c>
      <c r="AL104" s="7">
        <v>1</v>
      </c>
      <c r="AM104" s="7">
        <v>1</v>
      </c>
      <c r="AN104" s="7">
        <v>1</v>
      </c>
      <c r="AO104" s="9">
        <v>0</v>
      </c>
      <c r="AP104" s="7">
        <v>1</v>
      </c>
      <c r="AQ104" s="9">
        <v>0</v>
      </c>
      <c r="AR104" s="7">
        <v>1</v>
      </c>
      <c r="AS104" s="7">
        <v>1</v>
      </c>
      <c r="AT104" s="7">
        <v>1</v>
      </c>
      <c r="AU104" s="9">
        <v>0</v>
      </c>
      <c r="AV104" s="9">
        <v>0</v>
      </c>
      <c r="AW104" s="8">
        <f t="shared" si="4"/>
        <v>20</v>
      </c>
      <c r="AX104" s="8" t="s">
        <v>79</v>
      </c>
      <c r="AY104" s="8">
        <v>2022</v>
      </c>
      <c r="AZ104" s="8" t="s">
        <v>280</v>
      </c>
    </row>
    <row r="105" spans="1:52" ht="15.6" x14ac:dyDescent="0.35">
      <c r="A105" s="10" t="s">
        <v>201</v>
      </c>
      <c r="B105" s="10" t="s">
        <v>53</v>
      </c>
      <c r="C105" s="10" t="s">
        <v>221</v>
      </c>
      <c r="D105" s="10">
        <v>1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0">
        <v>1</v>
      </c>
      <c r="R105" s="11">
        <v>0</v>
      </c>
      <c r="S105" s="10">
        <v>1</v>
      </c>
      <c r="T105" s="10">
        <v>1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0">
        <v>1</v>
      </c>
      <c r="AC105" s="11">
        <v>0</v>
      </c>
      <c r="AD105" s="11">
        <v>0</v>
      </c>
      <c r="AE105" s="11">
        <v>0</v>
      </c>
      <c r="AF105" s="11">
        <v>0</v>
      </c>
      <c r="AG105" s="11">
        <v>0</v>
      </c>
      <c r="AH105" s="11">
        <v>0</v>
      </c>
      <c r="AI105" s="11">
        <v>0</v>
      </c>
      <c r="AJ105" s="11">
        <v>0</v>
      </c>
      <c r="AK105" s="10">
        <v>1</v>
      </c>
      <c r="AL105" s="11">
        <v>0</v>
      </c>
      <c r="AM105" s="11">
        <v>0</v>
      </c>
      <c r="AN105" s="11">
        <v>0</v>
      </c>
      <c r="AO105" s="11">
        <v>0</v>
      </c>
      <c r="AP105" s="11">
        <v>0</v>
      </c>
      <c r="AQ105" s="11">
        <v>0</v>
      </c>
      <c r="AR105" s="11">
        <v>0</v>
      </c>
      <c r="AS105" s="11">
        <v>0</v>
      </c>
      <c r="AT105" s="11">
        <v>0</v>
      </c>
      <c r="AU105" s="11">
        <v>0</v>
      </c>
      <c r="AV105" s="11">
        <v>0</v>
      </c>
      <c r="AW105" s="12">
        <f>SUM(D105:AV105)</f>
        <v>6</v>
      </c>
      <c r="AX105" s="10" t="s">
        <v>202</v>
      </c>
      <c r="AY105" s="12">
        <v>2021</v>
      </c>
      <c r="AZ105" s="12" t="s">
        <v>282</v>
      </c>
    </row>
  </sheetData>
  <conditionalFormatting sqref="A1:A69">
    <cfRule type="duplicateValues" dxfId="6" priority="7"/>
  </conditionalFormatting>
  <conditionalFormatting sqref="A70:A71">
    <cfRule type="duplicateValues" dxfId="5" priority="6"/>
  </conditionalFormatting>
  <conditionalFormatting sqref="A72:A99">
    <cfRule type="duplicateValues" dxfId="4" priority="2"/>
    <cfRule type="duplicateValues" dxfId="3" priority="3"/>
    <cfRule type="duplicateValues" dxfId="2" priority="4"/>
  </conditionalFormatting>
  <conditionalFormatting sqref="A100:A104">
    <cfRule type="duplicateValues" dxfId="1" priority="1"/>
  </conditionalFormatting>
  <conditionalFormatting sqref="A106:A1048576 A1:A71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Barroso</dc:creator>
  <cp:lastModifiedBy>Ricardo Alexandre Abreu Barroso</cp:lastModifiedBy>
  <dcterms:created xsi:type="dcterms:W3CDTF">2015-06-05T18:19:34Z</dcterms:created>
  <dcterms:modified xsi:type="dcterms:W3CDTF">2026-08-04T00:25:50Z</dcterms:modified>
</cp:coreProperties>
</file>